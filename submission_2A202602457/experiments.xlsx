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I-Vin\K4-Track4-Day1-Neuralnetwork\submission_2A202602457\"/>
    </mc:Choice>
  </mc:AlternateContent>
  <xr:revisionPtr revIDLastSave="0" documentId="13_ncr:1_{0FEABD44-5819-4DE9-B8FB-A09AA158F844}" xr6:coauthVersionLast="47" xr6:coauthVersionMax="47" xr10:uidLastSave="{00000000-0000-0000-0000-000000000000}"/>
  <bookViews>
    <workbookView xWindow="3400" yWindow="1690" windowWidth="19200" windowHeight="11170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E11" i="4" l="1"/>
  <c r="F11" i="4"/>
  <c r="D11" i="4"/>
  <c r="D10" i="4"/>
  <c r="E10" i="4"/>
  <c r="F10" i="4"/>
  <c r="F9" i="4"/>
  <c r="D9" i="4"/>
  <c r="G9" i="4"/>
  <c r="E9" i="4"/>
  <c r="D8" i="4"/>
  <c r="E8" i="4"/>
  <c r="F8" i="4"/>
  <c r="G8" i="4"/>
  <c r="E7" i="4"/>
  <c r="F7" i="4"/>
  <c r="G7" i="4"/>
  <c r="D7" i="4"/>
  <c r="D6" i="4"/>
  <c r="G6" i="4"/>
  <c r="E6" i="4"/>
  <c r="F6" i="4"/>
  <c r="D5" i="4"/>
  <c r="E5" i="4"/>
  <c r="F5" i="4"/>
  <c r="G5" i="4"/>
  <c r="E4" i="4"/>
  <c r="F4" i="4"/>
  <c r="G4" i="4"/>
  <c r="D4" i="4"/>
  <c r="G3" i="4"/>
  <c r="F3" i="4"/>
  <c r="D3" i="4"/>
  <c r="E3" i="4"/>
  <c r="E2" i="4"/>
  <c r="F2" i="4"/>
  <c r="D2" i="4"/>
  <c r="D8" i="3"/>
  <c r="D9" i="3"/>
  <c r="D10" i="3" s="1"/>
  <c r="C8" i="3"/>
  <c r="C9" i="3"/>
  <c r="C10" i="3" s="1"/>
  <c r="B8" i="3"/>
  <c r="B9" i="3"/>
  <c r="B10" i="3" s="1"/>
  <c r="AF2" i="2" l="1"/>
  <c r="AG2" i="2" s="1"/>
  <c r="AF3" i="2"/>
  <c r="AG3" i="2" s="1"/>
  <c r="AF4" i="2"/>
  <c r="AG4" i="2" s="1"/>
  <c r="AF5" i="2"/>
  <c r="AG5" i="2" s="1"/>
  <c r="AF6" i="2"/>
  <c r="AG6" i="2" s="1"/>
  <c r="AF7" i="2"/>
  <c r="AG7" i="2" s="1"/>
  <c r="AF8" i="2"/>
  <c r="AG8" i="2" s="1"/>
  <c r="AF9" i="2"/>
  <c r="AG9" i="2" s="1"/>
  <c r="AF10" i="2"/>
  <c r="AG10" i="2" s="1"/>
  <c r="AF11" i="2"/>
  <c r="AG11" i="2" s="1"/>
  <c r="AF12" i="2"/>
  <c r="AG12" i="2" s="1"/>
  <c r="AF13" i="2"/>
  <c r="AG13" i="2" s="1"/>
  <c r="AF14" i="2"/>
  <c r="AG14" i="2" s="1"/>
  <c r="AF15" i="2"/>
  <c r="AG15" i="2" s="1"/>
  <c r="AF16" i="2"/>
  <c r="AG16" i="2" s="1"/>
  <c r="AF19" i="2"/>
  <c r="AG19" i="2" s="1"/>
  <c r="AF20" i="2"/>
  <c r="AG20" i="2" s="1"/>
  <c r="AF21" i="2"/>
  <c r="AG21" i="2" s="1"/>
  <c r="AF17" i="2"/>
  <c r="AG17" i="2" s="1"/>
  <c r="AF18" i="2"/>
  <c r="AG18" i="2" s="1"/>
  <c r="AF22" i="2"/>
  <c r="AG22" i="2" s="1"/>
  <c r="AF23" i="2"/>
  <c r="AG23" i="2" s="1"/>
  <c r="AF24" i="2"/>
  <c r="AG24" i="2" s="1"/>
  <c r="AF25" i="2"/>
  <c r="AG25" i="2" s="1"/>
  <c r="AF26" i="2"/>
  <c r="AG26" i="2" s="1"/>
  <c r="AF27" i="2"/>
  <c r="AG27" i="2" s="1"/>
  <c r="AF30" i="2"/>
  <c r="AG30" i="2" s="1"/>
  <c r="AF31" i="2"/>
  <c r="AG31" i="2" s="1"/>
  <c r="AF29" i="2"/>
  <c r="AG29" i="2" s="1"/>
  <c r="AF33" i="2"/>
  <c r="AG33" i="2" s="1"/>
  <c r="AF34" i="2"/>
  <c r="AG34" i="2" s="1"/>
  <c r="AF35" i="2"/>
  <c r="AG35" i="2" s="1"/>
  <c r="AF36" i="2"/>
  <c r="AG36" i="2" s="1"/>
  <c r="AF28" i="2"/>
  <c r="AG28" i="2" s="1"/>
  <c r="AF32" i="2"/>
  <c r="AG32" i="2" s="1"/>
  <c r="AF37" i="2"/>
  <c r="AG37" i="2" s="1"/>
  <c r="AF38" i="2"/>
  <c r="AG38" i="2" s="1"/>
  <c r="AF39" i="2"/>
  <c r="AG39" i="2" s="1"/>
  <c r="AF40" i="2"/>
  <c r="AG40" i="2" s="1"/>
  <c r="AF41" i="2"/>
  <c r="AG41" i="2" s="1"/>
  <c r="AF42" i="2"/>
  <c r="AG42" i="2" s="1"/>
  <c r="AF43" i="2"/>
  <c r="AG43" i="2" s="1"/>
  <c r="AF44" i="2"/>
  <c r="AG44" i="2" s="1"/>
  <c r="AF45" i="2"/>
  <c r="AG45" i="2" s="1"/>
  <c r="AF46" i="2"/>
  <c r="AG46" i="2" s="1"/>
  <c r="AF47" i="2"/>
  <c r="AG47" i="2" s="1"/>
  <c r="AF48" i="2"/>
  <c r="AG48" i="2" s="1"/>
  <c r="AF49" i="2"/>
  <c r="AG49" i="2" s="1"/>
  <c r="AF50" i="2"/>
  <c r="AG50" i="2" s="1"/>
  <c r="AF51" i="2"/>
  <c r="AG51" i="2" s="1"/>
  <c r="AF52" i="2"/>
  <c r="AG52" i="2" s="1"/>
  <c r="AF53" i="2"/>
  <c r="AG53" i="2" s="1"/>
  <c r="AF54" i="2"/>
  <c r="AG54" i="2" s="1"/>
  <c r="AF55" i="2"/>
  <c r="AG55" i="2" s="1"/>
  <c r="AF56" i="2"/>
  <c r="AG56" i="2" s="1"/>
  <c r="AF57" i="2"/>
  <c r="AG57" i="2" s="1"/>
  <c r="AF58" i="2"/>
  <c r="AG58" i="2" s="1"/>
  <c r="AF59" i="2"/>
  <c r="AG59" i="2" s="1"/>
  <c r="AF60" i="2"/>
  <c r="AG60" i="2" s="1"/>
  <c r="AF61" i="2"/>
  <c r="AG61" i="2" s="1"/>
  <c r="D13" i="4"/>
</calcChain>
</file>

<file path=xl/sharedStrings.xml><?xml version="1.0" encoding="utf-8"?>
<sst xmlns="http://schemas.openxmlformats.org/spreadsheetml/2006/main" count="745" uniqueCount="309">
  <si>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</si>
  <si>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</si>
  <si>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</si>
  <si>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 xml:space="preserve">   </t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</si>
  <si>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</si>
  <si>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</si>
  <si>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</si>
  <si>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</si>
  <si>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</si>
  <si>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</si>
  <si>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</si>
  <si>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</si>
  <si>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</si>
  <si>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</si>
  <si>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</si>
  <si>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</si>
  <si>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</si>
  <si>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</si>
  <si>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</si>
  <si>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</si>
  <si>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</si>
  <si>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</si>
  <si>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</si>
  <si>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</si>
  <si>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</si>
  <si>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</si>
  <si>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</si>
  <si>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</si>
  <si>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</si>
  <si>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</si>
  <si>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</si>
  <si>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</si>
  <si>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</si>
  <si>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</si>
  <si>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</si>
  <si>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</si>
  <si>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</si>
  <si>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</si>
  <si>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</si>
  <si>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</si>
  <si>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</si>
  <si>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</si>
  <si>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</si>
  <si>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</si>
  <si>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</si>
  <si>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</si>
  <si>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</si>
  <si>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</si>
  <si>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</si>
  <si>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</si>
  <si>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</si>
  <si>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</si>
  <si>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</si>
  <si>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</si>
  <si>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</si>
  <si>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</si>
  <si>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</si>
  <si>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</si>
  <si>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</si>
  <si>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</si>
  <si>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</si>
  <si>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</si>
  <si>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</si>
  <si>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</si>
  <si>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</si>
  <si>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</si>
  <si>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</si>
  <si>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</si>
  <si>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</si>
  <si>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</si>
  <si>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</si>
  <si>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</si>
  <si>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</si>
  <si>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</si>
  <si>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</si>
  <si>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</si>
  <si>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</si>
  <si>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</si>
  <si>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</si>
  <si>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</si>
  <si>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</si>
  <si>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</si>
  <si>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</si>
  <si>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</si>
  <si>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</si>
  <si>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</si>
  <si>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</si>
  <si>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</si>
  <si>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</si>
  <si>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</si>
  <si>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</si>
  <si>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</si>
  <si>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</si>
  <si>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</si>
  <si>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</si>
  <si>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</si>
  <si>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</si>
  <si>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</si>
  <si>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</si>
  <si>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</si>
  <si>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</si>
  <si>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</si>
  <si>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</si>
  <si>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</si>
  <si>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</si>
  <si>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</si>
  <si>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</si>
  <si>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</si>
  <si>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</si>
  <si>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</si>
  <si>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</si>
  <si>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</si>
  <si>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</si>
  <si>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base-s1</t>
  </si>
  <si>
    <t>baseline</t>
  </si>
  <si>
    <t>Baseline M-base, seed 1</t>
  </si>
  <si>
    <t>CE</t>
  </si>
  <si>
    <t>SGD+momentum</t>
  </si>
  <si>
    <t>256-128</t>
  </si>
  <si>
    <t>none</t>
  </si>
  <si>
    <t>fp32</t>
  </si>
  <si>
    <t>he</t>
  </si>
  <si>
    <t>no</t>
  </si>
  <si>
    <t>figures/base-s1.png</t>
  </si>
  <si>
    <t>std kích hoạt bước 0 (ReLU1, ReLU2, logit) = 0.3901, 0.3661, 0.5773; momentum=0.9</t>
  </si>
  <si>
    <t>base-s2</t>
  </si>
  <si>
    <t>Baseline M-base, seed 2</t>
  </si>
  <si>
    <t>figures/base-s2.png</t>
  </si>
  <si>
    <t>std kích hoạt bước 0 (ReLU1, ReLU2, logit) = 0.4019, 0.4044, 0.5479; momentum=0.9</t>
  </si>
  <si>
    <t>base-s3</t>
  </si>
  <si>
    <t>Baseline M-base, seed 3</t>
  </si>
  <si>
    <t>figures/base-s3.png</t>
  </si>
  <si>
    <t>std kích hoạt bước 0 (ReLU1, ReLU2, logit) = 0.3914, 0.419, 0.5351; momentum=0.9</t>
  </si>
  <si>
    <t>loss-mse</t>
  </si>
  <si>
    <t>MSE trên one-hot (mean trên B*7), cùng lr baseline</t>
  </si>
  <si>
    <t>MSE</t>
  </si>
  <si>
    <t>figures/loss-mse.png</t>
  </si>
  <si>
    <t>momentum=0.9</t>
  </si>
  <si>
    <t>loss-mse-lrx3</t>
  </si>
  <si>
    <t>MSE, lr x3 (đổi 2 yếu tố: loss + lr, để bù gradient nhỏ của MSE)</t>
  </si>
  <si>
    <t>figures/loss-mse-lrx3.png</t>
  </si>
  <si>
    <t>opt-adam-lr0.0003</t>
  </si>
  <si>
    <t>adam, lr=0.0003</t>
  </si>
  <si>
    <t>figures/opt-adam-lr0.0003.png</t>
  </si>
  <si>
    <t>betas=(0.9,0.999), eps=1e-8</t>
  </si>
  <si>
    <t>opt-adam-lr0.001</t>
  </si>
  <si>
    <t>adam, lr=0.001</t>
  </si>
  <si>
    <t>figures/opt-adam-lr0.001.png</t>
  </si>
  <si>
    <t>opt-adam-lr0.003</t>
  </si>
  <si>
    <t>adam, lr=0.003</t>
  </si>
  <si>
    <t>figures/opt-adam-lr0.003.png</t>
  </si>
  <si>
    <t>opt-adamw-lr0.0003</t>
  </si>
  <si>
    <t>adamw, lr=0.0003, wd=0.01 (tách riêng)</t>
  </si>
  <si>
    <t>AdamW</t>
  </si>
  <si>
    <t>figures/opt-adamw-lr0.0003.png</t>
  </si>
  <si>
    <t>opt-adamw-lr0.001</t>
  </si>
  <si>
    <t>adamw, lr=0.001, wd=0.01 (tách riêng)</t>
  </si>
  <si>
    <t>figures/opt-adamw-lr0.001.png</t>
  </si>
  <si>
    <t>opt-adamw-lr0.003</t>
  </si>
  <si>
    <t>adamw, lr=0.003, wd=0.01 (tách riêng)</t>
  </si>
  <si>
    <t>figures/opt-adamw-lr0.003.png</t>
  </si>
  <si>
    <t>opt-adamw-wd0-lr0.001</t>
  </si>
  <si>
    <t>AdamW wd=0, lr=1e-3: kiểm chứng trùng Adam</t>
  </si>
  <si>
    <t>figures/opt-adamw-wd0-lr0.001.png</t>
  </si>
  <si>
    <t>opt-sgd-lr0.03</t>
  </si>
  <si>
    <t>sgd, lr=0.03</t>
  </si>
  <si>
    <t>SGD</t>
  </si>
  <si>
    <t>figures/opt-sgd-lr0.03.png</t>
  </si>
  <si>
    <t>opt-sgd-lr0.1</t>
  </si>
  <si>
    <t>sgd, lr=0.1</t>
  </si>
  <si>
    <t>figures/opt-sgd-lr0.1.png</t>
  </si>
  <si>
    <t>opt-sgd-lr0.3</t>
  </si>
  <si>
    <t>sgd, lr=0.3</t>
  </si>
  <si>
    <t>figures/opt-sgd-lr0.3.png</t>
  </si>
  <si>
    <t>opt-sgdm-lr0.01</t>
  </si>
  <si>
    <t>SGD+momentum 0.9, lr=0.01 (dò lr cho baseline)</t>
  </si>
  <si>
    <t>figures/opt-sgdm-lr0.01.png</t>
  </si>
  <si>
    <t>opt-sgdm-lr0.03</t>
  </si>
  <si>
    <t>SGD+momentum 0.9, lr=0.03 (dò lr cho baseline)</t>
  </si>
  <si>
    <t>figures/opt-sgdm-lr0.03.png</t>
  </si>
  <si>
    <t>opt-sgdm-lr0.1</t>
  </si>
  <si>
    <t>SGD+momentum 0.9, lr=0.1 (dò lr cho baseline)</t>
  </si>
  <si>
    <t>figures/opt-sgdm-lr0.1.png</t>
  </si>
  <si>
    <t>trùng cấu hình base-s1 (kiểm tra tái lập); momentum=0.9</t>
  </si>
  <si>
    <t>opt-sgdm-lr0.3</t>
  </si>
  <si>
    <t>SGD+momentum 0.9, lr=0.3 (dò lr cho baseline)</t>
  </si>
  <si>
    <t>figures/opt-sgdm-lr0.3.png</t>
  </si>
  <si>
    <t>hp-batch128</t>
  </si>
  <si>
    <t>hparam</t>
  </si>
  <si>
    <t>batch 128 (4x số bước), cùng lr</t>
  </si>
  <si>
    <t>figures/hp-batch128.png</t>
  </si>
  <si>
    <t>hp-batch2048</t>
  </si>
  <si>
    <t>batch 2048 (1/4 số bước), cùng lr</t>
  </si>
  <si>
    <t>figures/hp-batch2048.png</t>
  </si>
  <si>
    <t>hp-batch2048-lrx4</t>
  </si>
  <si>
    <t>batch 2048, lr x4 (quy tắc tăng lr theo lô, không warmup) — đổi 2 yếu tố có chủ đích</t>
  </si>
  <si>
    <t>figures/hp-batch2048-lrx4.png</t>
  </si>
  <si>
    <t>hp-deep</t>
  </si>
  <si>
    <t>M-deep 54-256-128-64-7</t>
  </si>
  <si>
    <t>256-128-64</t>
  </si>
  <si>
    <t>figures/hp-deep.png</t>
  </si>
  <si>
    <t>hp-ep40</t>
  </si>
  <si>
    <t>40 epoch thay vì 20</t>
  </si>
  <si>
    <t>figures/hp-ep40.png</t>
  </si>
  <si>
    <t>hp-wd1e-4</t>
  </si>
  <si>
    <t>weight_decay 1e-4 (L2 trong SGD)</t>
  </si>
  <si>
    <t>figures/hp-wd1e-4.png</t>
  </si>
  <si>
    <t>hp-wide</t>
  </si>
  <si>
    <t>M-wide 54-512-256-7</t>
  </si>
  <si>
    <t>512-256</t>
  </si>
  <si>
    <t>figures/hp-wide.png</t>
  </si>
  <si>
    <t>drop-0.1</t>
  </si>
  <si>
    <t>dropout q=0.1 sau mỗi ReLU ẩn</t>
  </si>
  <si>
    <t>figures/drop-0.1.png</t>
  </si>
  <si>
    <t>drop-0.3</t>
  </si>
  <si>
    <t>dropout q=0.3 sau mỗi ReLU ẩn</t>
  </si>
  <si>
    <t>figures/drop-0.3.png</t>
  </si>
  <si>
    <t>drop-0.5</t>
  </si>
  <si>
    <t>dropout q=0.5 sau mỗi ReLU ẩn</t>
  </si>
  <si>
    <t>figures/drop-0.5.png</t>
  </si>
  <si>
    <t>clip-0.58</t>
  </si>
  <si>
    <t>clipping</t>
  </si>
  <si>
    <t>clip c=0.58 (trung vị grad_norm baseline), lr baseline</t>
  </si>
  <si>
    <t>figures/clip-0.58.png</t>
  </si>
  <si>
    <t>clip-0.58-lrx10</t>
  </si>
  <si>
    <t>lr x10, clip c=0.58</t>
  </si>
  <si>
    <t>figures/clip-0.58-lrx10.png</t>
  </si>
  <si>
    <t>clip-0.58-lrx30</t>
  </si>
  <si>
    <t>lr x30, clip c=0.58</t>
  </si>
  <si>
    <t>figures/clip-0.58-lrx30.png</t>
  </si>
  <si>
    <t>clip-none-lrx10</t>
  </si>
  <si>
    <t>lr x10, KHÔNG clip (phản chứng)</t>
  </si>
  <si>
    <t>figures/clip-none-lrx10.png</t>
  </si>
  <si>
    <t>clip-none-lrx30</t>
  </si>
  <si>
    <t>lr x30, KHÔNG clip (phản chứng)</t>
  </si>
  <si>
    <t>figures/clip-none-lrx30.png</t>
  </si>
  <si>
    <t>amp-bf16</t>
  </si>
  <si>
    <t>amp</t>
  </si>
  <si>
    <t>BF16 autocast, không GradScaler</t>
  </si>
  <si>
    <t>bf16</t>
  </si>
  <si>
    <t>figures/amp-bf16.png</t>
  </si>
  <si>
    <t>amp-fp16</t>
  </si>
  <si>
    <t>FP16 autocast + GradScaler</t>
  </si>
  <si>
    <t>fp16</t>
  </si>
  <si>
    <t>figures/amp-fp16.png</t>
  </si>
  <si>
    <t>amp-wide-fp16</t>
  </si>
  <si>
    <t>M-wide + FP16 (so với hp-wide FP32)</t>
  </si>
  <si>
    <t>figures/amp-wide-fp16.png</t>
  </si>
  <si>
    <t>init-default</t>
  </si>
  <si>
    <t>khởi tạo mặc định nn.Linear</t>
  </si>
  <si>
    <t>default</t>
  </si>
  <si>
    <t>figures/init-default.png</t>
  </si>
  <si>
    <t>std kích hoạt bước 0 (ReLU1, ReLU2, logit) = 0.1603, 0.06776, 0.05851; momentum=0.9</t>
  </si>
  <si>
    <t>init-normal</t>
  </si>
  <si>
    <t>khởi tạo normal, bias=0</t>
  </si>
  <si>
    <t>normal</t>
  </si>
  <si>
    <t>figures/init-normal.png</t>
  </si>
  <si>
    <t>std kích hoạt bước 0 (ReLU1, ReLU2, logit) = 0.02027, 0.002152, 0.0002715; momentum=0.9</t>
  </si>
  <si>
    <t>init-xavier</t>
  </si>
  <si>
    <t>khởi tạo xavier, bias=0</t>
  </si>
  <si>
    <t>xavier</t>
  </si>
  <si>
    <t>figures/init-xavier.png</t>
  </si>
  <si>
    <t>std kích hoạt bước 0 (ReLU1, ReLU2, logit) = 0.1628, 0.1248, 0.1916; momentum=0.9</t>
  </si>
  <si>
    <t>init-zeros</t>
  </si>
  <si>
    <t>khởi tạo zeros, bias=0</t>
  </si>
  <si>
    <t>zeros</t>
  </si>
  <si>
    <t>figures/init-zeros.png</t>
  </si>
  <si>
    <t>std kích hoạt bước 0 (ReLU1, ReLU2, logit) = 0, 0, 0; momentum=0.9</t>
  </si>
  <si>
    <t>final-A-s1</t>
  </si>
  <si>
    <t>final</t>
  </si>
  <si>
    <t>adamw lr=0.003 + M-wide + 40 epoch</t>
  </si>
  <si>
    <t>figures/final-A-s1.png</t>
  </si>
  <si>
    <t>final-B-s1</t>
  </si>
  <si>
    <t>adamw lr=0.003 + M-wide + 40 epoch + cosine</t>
  </si>
  <si>
    <t>figures/final-B-s1.png</t>
  </si>
  <si>
    <t>cấu hình cuối, file nộp; scheduler=cosine; betas=(0.9,0.999), eps=1e-8</t>
  </si>
  <si>
    <t>final-B-s2</t>
  </si>
  <si>
    <t>adamw lr=0.003 + M-wide + 40 epoch + cosine, seed 2</t>
  </si>
  <si>
    <t>figures/final-B-s2.png</t>
  </si>
  <si>
    <t>scheduler=cosine; betas=(0.9,0.999), eps=1e-8</t>
  </si>
  <si>
    <t>final-B-s3</t>
  </si>
  <si>
    <t>adamw lr=0.003 + M-wide + 40 epoch + cosine, seed 3</t>
  </si>
  <si>
    <t>figures/final-B-s3.png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</si>
  <si>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</si>
  <si>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</si>
  <si>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</si>
  <si>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</si>
  <si>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</si>
  <si>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</si>
  <si>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</si>
  <si>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</si>
  <si>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</si>
  <si>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</si>
  <si>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</si>
  <si>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</si>
  <si>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</si>
  <si>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</si>
  <si>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3 seed: val F1 0.8562 ± 0.0019; lr=0.1 chọn bằng val; eval F1 0.8618</t>
  </si>
  <si>
    <t>tốt nhất loss-mse-lrx3 (val F1 0.7887, Δ -0.0675 so với TB baseline, vượt 2σ=0.0037)</t>
  </si>
  <si>
    <t>tốt nhất opt-adamw-lr0.003 (val F1 0.8757, Δ +0.0195 so với TB baseline, vượt 2σ=0.0037)</t>
  </si>
  <si>
    <t>tốt nhất hp-ep40 (val F1 0.8743, Δ +0.0181 so với TB baseline, vượt 2σ=0.0037)</t>
  </si>
  <si>
    <t>tốt nhất drop-0.1 (val F1 0.8368, Δ -0.0194 so với TB baseline, vượt 2σ=0.0037)</t>
  </si>
  <si>
    <t>tốt nhất clip-0.58 (val F1 0.8591, Δ +0.0028 so với TB baseline, trong 2σ=0.0037)</t>
  </si>
  <si>
    <t>tốt nhất amp-wide-fp16 (val F1 0.8821, Δ +0.0259 so với TB baseline, vượt 2σ=0.0037)</t>
  </si>
  <si>
    <t>tốt nhất init-xavier (val F1 0.8585, Δ +0.0023 so với TB baseline, trong 2σ=0.0037)</t>
  </si>
  <si>
    <t>final-B-s1: val F1 0.9252 ± 0.0033 (3 seed); eval F1 0.9314 (baseline 0.8618)</t>
  </si>
  <si>
    <t>other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</si>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</sst>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/>
  </sheetViews>
  <sheetFormatPr defaultColWidth="8.6328125" defaultRowHeight="14.5" x14ac:dyDescent="0.35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399999999999999" customHeight="1" x14ac:dyDescent="0.4">
      <c r="A1" s="1" t="s">
        <v>0</v>
      </c>
    </row>
    <row r="2" spans="1:2" ht="15" customHeight="1" x14ac:dyDescent="0.35">
      <c r="A2" s="2" t="s">
        <v>1</v>
      </c>
    </row>
    <row r="4" spans="1:2" ht="15" customHeight="1" x14ac:dyDescent="0.35">
      <c r="A4" s="3" t="s">
        <v>2</v>
      </c>
    </row>
    <row r="5" spans="1:2" ht="15" customHeight="1" x14ac:dyDescent="0.35">
      <c r="A5" s="4" t="s">
        <v>3</v>
      </c>
      <c r="B5" s="2" t="s">
        <v>4</v>
      </c>
    </row>
    <row r="6" spans="1:2" ht="15" customHeight="1" x14ac:dyDescent="0.35">
      <c r="A6" s="5" t="s">
        <v>5</v>
      </c>
      <c r="B6" s="2" t="s">
        <v>6</v>
      </c>
    </row>
    <row r="7" spans="1:2" ht="15" customHeight="1" x14ac:dyDescent="0.35">
      <c r="A7" s="6" t="s">
        <v>3</v>
      </c>
      <c r="B7" s="2" t="s">
        <v>7</v>
      </c>
    </row>
    <row r="9" spans="1:2" ht="15" customHeight="1" x14ac:dyDescent="0.35">
      <c r="A9" s="3" t="s">
        <v>8</v>
      </c>
    </row>
    <row r="10" spans="1:2" ht="15" customHeight="1" x14ac:dyDescent="0.35">
      <c r="A10" s="2" t="s">
        <v>9</v>
      </c>
    </row>
    <row r="11" spans="1:2" ht="15" customHeight="1" x14ac:dyDescent="0.35">
      <c r="A11" s="2" t="s">
        <v>10</v>
      </c>
    </row>
    <row r="12" spans="1:2" ht="15" customHeight="1" x14ac:dyDescent="0.35">
      <c r="A12" s="2" t="s">
        <v>11</v>
      </c>
    </row>
    <row r="13" spans="1:2" ht="15" customHeight="1" x14ac:dyDescent="0.35">
      <c r="A13" s="2" t="s">
        <v>12</v>
      </c>
    </row>
    <row r="14" spans="1:2" ht="15" customHeight="1" x14ac:dyDescent="0.35">
      <c r="A14" s="2" t="s">
        <v>13</v>
      </c>
    </row>
    <row r="16" spans="1:2" ht="15" customHeight="1" x14ac:dyDescent="0.35">
      <c r="A16" s="3" t="s">
        <v>14</v>
      </c>
    </row>
    <row r="17" spans="1:3" ht="15" customHeight="1" x14ac:dyDescent="0.35">
      <c r="A17" s="7" t="s">
        <v>15</v>
      </c>
      <c r="B17" s="7" t="s">
        <v>16</v>
      </c>
      <c r="C17" s="7" t="s">
        <v>17</v>
      </c>
    </row>
    <row r="18" spans="1:3" ht="15" customHeight="1" x14ac:dyDescent="0.35">
      <c r="A18" s="8" t="s">
        <v>18</v>
      </c>
      <c r="B18" s="9" t="s">
        <v>19</v>
      </c>
      <c r="C18" s="9" t="s">
        <v>20</v>
      </c>
    </row>
    <row r="19" spans="1:3" ht="23.9" customHeight="1" x14ac:dyDescent="0.35">
      <c r="A19" s="8" t="s">
        <v>21</v>
      </c>
      <c r="B19" s="9" t="s">
        <v>22</v>
      </c>
      <c r="C19" s="9" t="s">
        <v>23</v>
      </c>
    </row>
    <row r="20" spans="1:3" ht="15" customHeight="1" x14ac:dyDescent="0.35">
      <c r="A20" s="8" t="s">
        <v>24</v>
      </c>
      <c r="B20" s="9" t="s">
        <v>25</v>
      </c>
      <c r="C20" s="9" t="s">
        <v>26</v>
      </c>
    </row>
    <row r="21" spans="1:3" ht="15" customHeight="1" x14ac:dyDescent="0.35">
      <c r="A21" s="8" t="s">
        <v>27</v>
      </c>
      <c r="B21" s="9" t="s">
        <v>28</v>
      </c>
      <c r="C21" s="9" t="s">
        <v>23</v>
      </c>
    </row>
    <row r="22" spans="1:3" ht="15" customHeight="1" x14ac:dyDescent="0.35">
      <c r="A22" s="8" t="s">
        <v>29</v>
      </c>
      <c r="B22" s="9" t="s">
        <v>30</v>
      </c>
      <c r="C22" s="9" t="s">
        <v>23</v>
      </c>
    </row>
    <row r="23" spans="1:3" ht="15" customHeight="1" x14ac:dyDescent="0.35">
      <c r="A23" s="8" t="s">
        <v>31</v>
      </c>
      <c r="B23" s="9" t="s">
        <v>32</v>
      </c>
      <c r="C23" s="9" t="s">
        <v>33</v>
      </c>
    </row>
    <row r="24" spans="1:3" ht="15" customHeight="1" x14ac:dyDescent="0.35">
      <c r="A24" s="8" t="s">
        <v>34</v>
      </c>
      <c r="B24" s="9" t="s">
        <v>35</v>
      </c>
      <c r="C24" s="9" t="s">
        <v>36</v>
      </c>
    </row>
    <row r="25" spans="1:3" ht="15" customHeight="1" x14ac:dyDescent="0.35">
      <c r="A25" s="8" t="s">
        <v>37</v>
      </c>
      <c r="B25" s="9" t="s">
        <v>38</v>
      </c>
      <c r="C25" s="9" t="s">
        <v>39</v>
      </c>
    </row>
    <row r="26" spans="1:3" ht="15" customHeight="1" x14ac:dyDescent="0.35">
      <c r="A26" s="8" t="s">
        <v>40</v>
      </c>
      <c r="B26" s="9" t="s">
        <v>41</v>
      </c>
      <c r="C26" s="9" t="s">
        <v>42</v>
      </c>
    </row>
    <row r="27" spans="1:3" ht="15" customHeight="1" x14ac:dyDescent="0.35">
      <c r="A27" s="8" t="s">
        <v>43</v>
      </c>
      <c r="B27" s="9" t="s">
        <v>44</v>
      </c>
      <c r="C27" s="9" t="s">
        <v>45</v>
      </c>
    </row>
    <row r="28" spans="1:3" ht="15" customHeight="1" x14ac:dyDescent="0.35">
      <c r="A28" s="8" t="s">
        <v>46</v>
      </c>
      <c r="B28" s="9" t="s">
        <v>47</v>
      </c>
      <c r="C28" s="9" t="s">
        <v>36</v>
      </c>
    </row>
    <row r="29" spans="1:3" ht="15" customHeight="1" x14ac:dyDescent="0.35">
      <c r="A29" s="8" t="s">
        <v>48</v>
      </c>
      <c r="B29" s="9" t="s">
        <v>49</v>
      </c>
      <c r="C29" s="9" t="s">
        <v>50</v>
      </c>
    </row>
    <row r="30" spans="1:3" ht="15" customHeight="1" x14ac:dyDescent="0.35">
      <c r="A30" s="8" t="s">
        <v>51</v>
      </c>
      <c r="B30" s="9" t="s">
        <v>52</v>
      </c>
      <c r="C30" s="9" t="s">
        <v>23</v>
      </c>
    </row>
    <row r="31" spans="1:3" ht="15" customHeight="1" x14ac:dyDescent="0.35">
      <c r="A31" s="8" t="s">
        <v>53</v>
      </c>
      <c r="B31" s="9" t="s">
        <v>54</v>
      </c>
      <c r="C31" s="9" t="s">
        <v>55</v>
      </c>
    </row>
    <row r="32" spans="1:3" ht="15" customHeight="1" x14ac:dyDescent="0.35">
      <c r="A32" s="8" t="s">
        <v>56</v>
      </c>
      <c r="B32" s="9" t="s">
        <v>57</v>
      </c>
      <c r="C32" s="9" t="s">
        <v>39</v>
      </c>
    </row>
    <row r="33" spans="1:3" ht="15" customHeight="1" x14ac:dyDescent="0.35">
      <c r="A33" s="8" t="s">
        <v>58</v>
      </c>
      <c r="B33" s="9" t="s">
        <v>59</v>
      </c>
      <c r="C33" s="9" t="s">
        <v>60</v>
      </c>
    </row>
    <row r="34" spans="1:3" ht="15" customHeight="1" x14ac:dyDescent="0.35">
      <c r="A34" s="8" t="s">
        <v>61</v>
      </c>
      <c r="B34" s="9" t="s">
        <v>62</v>
      </c>
      <c r="C34" s="9"/>
    </row>
    <row r="35" spans="1:3" ht="15" customHeight="1" x14ac:dyDescent="0.35">
      <c r="A35" s="8" t="s">
        <v>63</v>
      </c>
      <c r="B35" s="9" t="s">
        <v>64</v>
      </c>
      <c r="C35" s="9" t="s">
        <v>65</v>
      </c>
    </row>
    <row r="36" spans="1:3" ht="15" customHeight="1" x14ac:dyDescent="0.35">
      <c r="A36" s="8" t="s">
        <v>66</v>
      </c>
      <c r="B36" s="9" t="s">
        <v>67</v>
      </c>
      <c r="C36" s="9"/>
    </row>
    <row r="37" spans="1:3" ht="15" customHeight="1" x14ac:dyDescent="0.35">
      <c r="A37" s="8" t="s">
        <v>68</v>
      </c>
      <c r="B37" s="9" t="s">
        <v>69</v>
      </c>
      <c r="C37" s="9"/>
    </row>
    <row r="38" spans="1:3" ht="15" customHeight="1" x14ac:dyDescent="0.35">
      <c r="A38" s="8" t="s">
        <v>70</v>
      </c>
      <c r="B38" s="9" t="s">
        <v>71</v>
      </c>
      <c r="C38" s="9" t="s">
        <v>72</v>
      </c>
    </row>
    <row r="39" spans="1:3" ht="15" customHeight="1" x14ac:dyDescent="0.35">
      <c r="A39" s="8" t="s">
        <v>73</v>
      </c>
      <c r="B39" s="9" t="s">
        <v>74</v>
      </c>
      <c r="C39" s="9" t="s">
        <v>75</v>
      </c>
    </row>
    <row r="40" spans="1:3" ht="15" customHeight="1" x14ac:dyDescent="0.35">
      <c r="A40" s="8" t="s">
        <v>76</v>
      </c>
      <c r="B40" s="9" t="s">
        <v>77</v>
      </c>
      <c r="C40" s="9" t="s">
        <v>78</v>
      </c>
    </row>
    <row r="41" spans="1:3" ht="15" customHeight="1" x14ac:dyDescent="0.35">
      <c r="A41" s="8" t="s">
        <v>79</v>
      </c>
      <c r="B41" s="9" t="s">
        <v>80</v>
      </c>
      <c r="C41" s="9" t="s">
        <v>81</v>
      </c>
    </row>
    <row r="42" spans="1:3" ht="15" customHeight="1" x14ac:dyDescent="0.35">
      <c r="A42" s="8" t="s">
        <v>82</v>
      </c>
      <c r="B42" s="9" t="s">
        <v>83</v>
      </c>
      <c r="C42" s="9" t="s">
        <v>23</v>
      </c>
    </row>
    <row r="43" spans="1:3" ht="23.9" customHeight="1" x14ac:dyDescent="0.35">
      <c r="A43" s="8" t="s">
        <v>84</v>
      </c>
      <c r="B43" s="9" t="s">
        <v>85</v>
      </c>
      <c r="C43" s="9" t="s">
        <v>86</v>
      </c>
    </row>
    <row r="44" spans="1:3" ht="23.9" customHeight="1" x14ac:dyDescent="0.35">
      <c r="A44" s="8" t="s">
        <v>87</v>
      </c>
      <c r="B44" s="9" t="s">
        <v>88</v>
      </c>
      <c r="C44" s="9" t="s">
        <v>86</v>
      </c>
    </row>
    <row r="45" spans="1:3" ht="15" customHeight="1" x14ac:dyDescent="0.35">
      <c r="A45" s="8" t="s">
        <v>89</v>
      </c>
      <c r="B45" s="9" t="s">
        <v>90</v>
      </c>
      <c r="C45" s="9" t="s">
        <v>91</v>
      </c>
    </row>
    <row r="46" spans="1:3" ht="15" customHeight="1" x14ac:dyDescent="0.35">
      <c r="A46" s="8" t="s">
        <v>92</v>
      </c>
      <c r="B46" s="9" t="s">
        <v>93</v>
      </c>
      <c r="C46" s="9" t="s">
        <v>94</v>
      </c>
    </row>
    <row r="47" spans="1:3" ht="15" customHeight="1" x14ac:dyDescent="0.35">
      <c r="A47" s="8" t="s">
        <v>95</v>
      </c>
      <c r="B47" s="9" t="s">
        <v>96</v>
      </c>
      <c r="C47" s="9" t="s">
        <v>97</v>
      </c>
    </row>
    <row r="48" spans="1:3" ht="15" customHeight="1" x14ac:dyDescent="0.35">
      <c r="A48" s="8" t="s">
        <v>98</v>
      </c>
      <c r="B48" s="9" t="s">
        <v>99</v>
      </c>
      <c r="C48" s="9" t="s">
        <v>100</v>
      </c>
    </row>
    <row r="49" spans="1:12" ht="15" customHeight="1" x14ac:dyDescent="0.35">
      <c r="A49" s="8" t="s">
        <v>101</v>
      </c>
      <c r="B49" s="9" t="s">
        <v>102</v>
      </c>
      <c r="C49" s="9" t="s">
        <v>103</v>
      </c>
    </row>
    <row r="50" spans="1:12" ht="15" customHeight="1" x14ac:dyDescent="0.35">
      <c r="A50" s="8" t="s">
        <v>104</v>
      </c>
      <c r="B50" s="9" t="s">
        <v>105</v>
      </c>
      <c r="C50" s="9" t="s">
        <v>106</v>
      </c>
    </row>
    <row r="52" spans="1:12" ht="15" customHeight="1" x14ac:dyDescent="0.35">
      <c r="A52" s="3" t="s">
        <v>107</v>
      </c>
    </row>
    <row r="53" spans="1:12" ht="23.9" customHeight="1" x14ac:dyDescent="0.35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35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35">
      <c r="A56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42" customHeight="1" x14ac:dyDescent="0.35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ht="15" customHeight="1" x14ac:dyDescent="0.35">
      <c r="A2" s="12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3">
        <v>0.1</v>
      </c>
      <c r="G2" s="12">
        <v>0</v>
      </c>
      <c r="H2" s="12">
        <v>512</v>
      </c>
      <c r="I2" s="12">
        <v>20</v>
      </c>
      <c r="J2" s="12" t="s">
        <v>118</v>
      </c>
      <c r="K2" s="12">
        <v>0</v>
      </c>
      <c r="L2" s="12" t="s">
        <v>119</v>
      </c>
      <c r="M2" s="12" t="s">
        <v>120</v>
      </c>
      <c r="N2" s="12" t="s">
        <v>121</v>
      </c>
      <c r="O2" s="12">
        <v>1</v>
      </c>
      <c r="P2" s="14">
        <v>2.269061790045372</v>
      </c>
      <c r="Q2" s="14">
        <v>0.23143395283967449</v>
      </c>
      <c r="R2" s="13">
        <v>20</v>
      </c>
      <c r="S2" s="14">
        <v>0.20908575749874109</v>
      </c>
      <c r="T2" s="14">
        <v>0.23143395283967449</v>
      </c>
      <c r="U2" s="14">
        <v>0.90845721907876331</v>
      </c>
      <c r="V2" s="14">
        <v>0.85837155128100273</v>
      </c>
      <c r="W2" s="13">
        <v>1.264055922149987</v>
      </c>
      <c r="X2" s="13">
        <v>172.80322265625</v>
      </c>
      <c r="Y2" s="13" t="s">
        <v>122</v>
      </c>
      <c r="Z2" s="14">
        <v>0.90635353648356753</v>
      </c>
      <c r="AA2" s="14">
        <v>0.8618057842901915</v>
      </c>
      <c r="AB2" s="13" t="s">
        <v>123</v>
      </c>
      <c r="AC2" s="13" t="s">
        <v>124</v>
      </c>
      <c r="AD2" s="15">
        <f t="shared" ref="AD2:AD33" si="0">IF(P2="","",P2-LN(7))</f>
        <v>0.32315164099005877</v>
      </c>
      <c r="AE2" s="15">
        <f t="shared" ref="AE2:AE33" si="1">IF(OR(T2="",S2=""),"",T2-S2)</f>
        <v>2.2348195340933408E-2</v>
      </c>
      <c r="AF2" s="15">
        <f>IF(OR(V2="",Seeds!$C$8=""),"",V2-Seeds!$C$8)</f>
        <v>2.1454355956247451E-3</v>
      </c>
      <c r="AG2" s="15" t="str">
        <f>IF(OR(AF2="",Seeds!$C$10=""),"",IF(ABS(AF2)&gt;Seeds!$C$10,"Có","Không"))</f>
        <v>Không</v>
      </c>
    </row>
    <row r="3" spans="1:33" ht="15" customHeight="1" x14ac:dyDescent="0.35">
      <c r="A3" s="13" t="s">
        <v>125</v>
      </c>
      <c r="B3" s="13" t="s">
        <v>114</v>
      </c>
      <c r="C3" s="13" t="s">
        <v>126</v>
      </c>
      <c r="D3" s="13" t="s">
        <v>116</v>
      </c>
      <c r="E3" s="13" t="s">
        <v>117</v>
      </c>
      <c r="F3" s="13">
        <v>0.1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 t="s">
        <v>119</v>
      </c>
      <c r="M3" s="13" t="s">
        <v>120</v>
      </c>
      <c r="N3" s="13" t="s">
        <v>121</v>
      </c>
      <c r="O3" s="13">
        <v>2</v>
      </c>
      <c r="P3" s="14">
        <v>1.9781567014070811</v>
      </c>
      <c r="Q3" s="14">
        <v>0.2261094462700102</v>
      </c>
      <c r="R3" s="13">
        <v>20</v>
      </c>
      <c r="S3" s="14">
        <v>0.20324450244426731</v>
      </c>
      <c r="T3" s="14">
        <v>0.2261094462700102</v>
      </c>
      <c r="U3" s="14">
        <v>0.90975882618704418</v>
      </c>
      <c r="V3" s="14">
        <v>0.85520702584103414</v>
      </c>
      <c r="W3" s="13">
        <v>1.244130098000011</v>
      </c>
      <c r="X3" s="13">
        <v>172.80322265625</v>
      </c>
      <c r="Y3" s="13" t="s">
        <v>122</v>
      </c>
      <c r="Z3" s="14"/>
      <c r="AA3" s="14"/>
      <c r="AB3" s="13" t="s">
        <v>127</v>
      </c>
      <c r="AC3" s="13" t="s">
        <v>128</v>
      </c>
      <c r="AD3" s="15">
        <f t="shared" si="0"/>
        <v>3.2246552351767876E-2</v>
      </c>
      <c r="AE3" s="15">
        <f t="shared" si="1"/>
        <v>2.2864943825742889E-2</v>
      </c>
      <c r="AF3" s="15">
        <f>IF(OR(V3="",Seeds!$C$8=""),"",V3-Seeds!$C$8)</f>
        <v>-1.0190898443438456E-3</v>
      </c>
      <c r="AG3" s="15" t="str">
        <f>IF(OR(AF3="",Seeds!$C$10=""),"",IF(ABS(AF3)&gt;Seeds!$C$10,"Có","Không"))</f>
        <v>Không</v>
      </c>
    </row>
    <row r="4" spans="1:33" ht="15" customHeight="1" x14ac:dyDescent="0.35">
      <c r="A4" s="13" t="s">
        <v>129</v>
      </c>
      <c r="B4" s="13" t="s">
        <v>114</v>
      </c>
      <c r="C4" s="13" t="s">
        <v>130</v>
      </c>
      <c r="D4" s="13" t="s">
        <v>116</v>
      </c>
      <c r="E4" s="13" t="s">
        <v>117</v>
      </c>
      <c r="F4" s="13">
        <v>0.1</v>
      </c>
      <c r="G4" s="13">
        <v>0</v>
      </c>
      <c r="H4" s="13">
        <v>512</v>
      </c>
      <c r="I4" s="13">
        <v>20</v>
      </c>
      <c r="J4" s="13" t="s">
        <v>118</v>
      </c>
      <c r="K4" s="13">
        <v>0</v>
      </c>
      <c r="L4" s="13" t="s">
        <v>119</v>
      </c>
      <c r="M4" s="13" t="s">
        <v>120</v>
      </c>
      <c r="N4" s="13" t="s">
        <v>121</v>
      </c>
      <c r="O4" s="13">
        <v>3</v>
      </c>
      <c r="P4" s="14">
        <v>1.900539952366137</v>
      </c>
      <c r="Q4" s="14">
        <v>0.22752355522819989</v>
      </c>
      <c r="R4" s="13">
        <v>19</v>
      </c>
      <c r="S4" s="14">
        <v>0.2286240296459198</v>
      </c>
      <c r="T4" s="14">
        <v>0.25315491318130767</v>
      </c>
      <c r="U4" s="14">
        <v>0.90903810158989695</v>
      </c>
      <c r="V4" s="14">
        <v>0.85509976993409698</v>
      </c>
      <c r="W4" s="13">
        <v>1.239775955249985</v>
      </c>
      <c r="X4" s="13">
        <v>172.80322265625</v>
      </c>
      <c r="Y4" s="13" t="s">
        <v>122</v>
      </c>
      <c r="Z4" s="14"/>
      <c r="AA4" s="14"/>
      <c r="AB4" s="13" t="s">
        <v>131</v>
      </c>
      <c r="AC4" s="13" t="s">
        <v>132</v>
      </c>
      <c r="AD4" s="15">
        <f t="shared" si="0"/>
        <v>-4.537019668917619E-2</v>
      </c>
      <c r="AE4" s="15">
        <f t="shared" si="1"/>
        <v>2.4530883535387876E-2</v>
      </c>
      <c r="AF4" s="15">
        <f>IF(OR(V4="",Seeds!$C$8=""),"",V4-Seeds!$C$8)</f>
        <v>-1.1263457512810104E-3</v>
      </c>
      <c r="AG4" s="15" t="str">
        <f>IF(OR(AF4="",Seeds!$C$10=""),"",IF(ABS(AF4)&gt;Seeds!$C$10,"Có","Không"))</f>
        <v>Không</v>
      </c>
    </row>
    <row r="5" spans="1:33" ht="15" customHeight="1" x14ac:dyDescent="0.35">
      <c r="A5" s="13" t="s">
        <v>133</v>
      </c>
      <c r="B5" s="13" t="s">
        <v>27</v>
      </c>
      <c r="C5" s="13" t="s">
        <v>134</v>
      </c>
      <c r="D5" s="13" t="s">
        <v>135</v>
      </c>
      <c r="E5" s="13" t="s">
        <v>117</v>
      </c>
      <c r="F5" s="13">
        <v>0.1</v>
      </c>
      <c r="G5" s="13">
        <v>0</v>
      </c>
      <c r="H5" s="13">
        <v>512</v>
      </c>
      <c r="I5" s="13">
        <v>20</v>
      </c>
      <c r="J5" s="13" t="s">
        <v>118</v>
      </c>
      <c r="K5" s="13">
        <v>0</v>
      </c>
      <c r="L5" s="13" t="s">
        <v>119</v>
      </c>
      <c r="M5" s="13" t="s">
        <v>120</v>
      </c>
      <c r="N5" s="13" t="s">
        <v>121</v>
      </c>
      <c r="O5" s="13">
        <v>1</v>
      </c>
      <c r="P5" s="14">
        <v>0.63585034852922351</v>
      </c>
      <c r="Q5" s="14">
        <v>2.938536776244206E-2</v>
      </c>
      <c r="R5" s="13">
        <v>19</v>
      </c>
      <c r="S5" s="14">
        <v>2.8518519567847251E-2</v>
      </c>
      <c r="T5" s="14">
        <v>2.944104384266813E-2</v>
      </c>
      <c r="U5" s="14">
        <v>0.87125922419913515</v>
      </c>
      <c r="V5" s="14">
        <v>0.73294572833934635</v>
      </c>
      <c r="W5" s="13">
        <v>1.2905844440999941</v>
      </c>
      <c r="X5" s="13">
        <v>172.806640625</v>
      </c>
      <c r="Y5" s="13" t="s">
        <v>122</v>
      </c>
      <c r="Z5" s="14"/>
      <c r="AA5" s="14"/>
      <c r="AB5" s="13" t="s">
        <v>136</v>
      </c>
      <c r="AC5" s="13" t="s">
        <v>137</v>
      </c>
      <c r="AD5" s="15">
        <f t="shared" si="0"/>
        <v>-1.3100598005260897</v>
      </c>
      <c r="AE5" s="15">
        <f t="shared" si="1"/>
        <v>9.2252427482087881E-4</v>
      </c>
      <c r="AF5" s="15">
        <f>IF(OR(V5="",Seeds!$C$8=""),"",V5-Seeds!$C$8)</f>
        <v>-0.12328038734603164</v>
      </c>
      <c r="AG5" s="15" t="str">
        <f>IF(OR(AF5="",Seeds!$C$10=""),"",IF(ABS(AF5)&gt;Seeds!$C$10,"Có","Không"))</f>
        <v>Có</v>
      </c>
    </row>
    <row r="6" spans="1:33" ht="15" customHeight="1" x14ac:dyDescent="0.35">
      <c r="A6" s="13" t="s">
        <v>138</v>
      </c>
      <c r="B6" s="13" t="s">
        <v>27</v>
      </c>
      <c r="C6" s="13" t="s">
        <v>139</v>
      </c>
      <c r="D6" s="13" t="s">
        <v>135</v>
      </c>
      <c r="E6" s="13" t="s">
        <v>117</v>
      </c>
      <c r="F6" s="13">
        <v>0.3</v>
      </c>
      <c r="G6" s="13">
        <v>0</v>
      </c>
      <c r="H6" s="13">
        <v>512</v>
      </c>
      <c r="I6" s="13">
        <v>20</v>
      </c>
      <c r="J6" s="13" t="s">
        <v>118</v>
      </c>
      <c r="K6" s="13">
        <v>0</v>
      </c>
      <c r="L6" s="13" t="s">
        <v>119</v>
      </c>
      <c r="M6" s="13" t="s">
        <v>120</v>
      </c>
      <c r="N6" s="13" t="s">
        <v>121</v>
      </c>
      <c r="O6" s="13">
        <v>1</v>
      </c>
      <c r="P6" s="14">
        <v>0.63585034852922351</v>
      </c>
      <c r="Q6" s="14">
        <v>2.7285184412111071E-2</v>
      </c>
      <c r="R6" s="13">
        <v>20</v>
      </c>
      <c r="S6" s="14">
        <v>2.6332856293320651E-2</v>
      </c>
      <c r="T6" s="14">
        <v>2.7285184412111071E-2</v>
      </c>
      <c r="U6" s="14">
        <v>0.88307050192551795</v>
      </c>
      <c r="V6" s="14">
        <v>0.78869545038837641</v>
      </c>
      <c r="W6" s="13">
        <v>1.2841845676500101</v>
      </c>
      <c r="X6" s="13">
        <v>172.806640625</v>
      </c>
      <c r="Y6" s="13" t="s">
        <v>122</v>
      </c>
      <c r="Z6" s="14"/>
      <c r="AA6" s="14"/>
      <c r="AB6" s="13" t="s">
        <v>140</v>
      </c>
      <c r="AC6" s="13" t="s">
        <v>137</v>
      </c>
      <c r="AD6" s="15">
        <f t="shared" si="0"/>
        <v>-1.3100598005260897</v>
      </c>
      <c r="AE6" s="15">
        <f t="shared" si="1"/>
        <v>9.5232811879042076E-4</v>
      </c>
      <c r="AF6" s="15">
        <f>IF(OR(V6="",Seeds!$C$8=""),"",V6-Seeds!$C$8)</f>
        <v>-6.753066529700158E-2</v>
      </c>
      <c r="AG6" s="15" t="str">
        <f>IF(OR(AF6="",Seeds!$C$10=""),"",IF(ABS(AF6)&gt;Seeds!$C$10,"Có","Không"))</f>
        <v>Có</v>
      </c>
    </row>
    <row r="7" spans="1:33" ht="15" customHeight="1" x14ac:dyDescent="0.35">
      <c r="A7" s="13" t="s">
        <v>141</v>
      </c>
      <c r="B7" s="13" t="s">
        <v>29</v>
      </c>
      <c r="C7" s="13" t="s">
        <v>142</v>
      </c>
      <c r="D7" s="13" t="s">
        <v>116</v>
      </c>
      <c r="E7" s="13" t="s">
        <v>109</v>
      </c>
      <c r="F7" s="13">
        <v>2.9999999999999997E-4</v>
      </c>
      <c r="G7" s="13">
        <v>0</v>
      </c>
      <c r="H7" s="13">
        <v>512</v>
      </c>
      <c r="I7" s="13">
        <v>20</v>
      </c>
      <c r="J7" s="13" t="s">
        <v>118</v>
      </c>
      <c r="K7" s="13">
        <v>0</v>
      </c>
      <c r="L7" s="13" t="s">
        <v>119</v>
      </c>
      <c r="M7" s="13" t="s">
        <v>120</v>
      </c>
      <c r="N7" s="13" t="s">
        <v>121</v>
      </c>
      <c r="O7" s="13">
        <v>1</v>
      </c>
      <c r="P7" s="14">
        <v>2.269061790045372</v>
      </c>
      <c r="Q7" s="14">
        <v>0.30803692531278959</v>
      </c>
      <c r="R7" s="13">
        <v>20</v>
      </c>
      <c r="S7" s="14">
        <v>0.29792743125915527</v>
      </c>
      <c r="T7" s="14">
        <v>0.30803692531278959</v>
      </c>
      <c r="U7" s="14">
        <v>0.87614294012607297</v>
      </c>
      <c r="V7" s="14">
        <v>0.79547793376686238</v>
      </c>
      <c r="W7" s="13">
        <v>1.3716636702999889</v>
      </c>
      <c r="X7" s="13">
        <v>172.986328125</v>
      </c>
      <c r="Y7" s="13" t="s">
        <v>122</v>
      </c>
      <c r="Z7" s="14"/>
      <c r="AA7" s="14"/>
      <c r="AB7" s="13" t="s">
        <v>143</v>
      </c>
      <c r="AC7" s="13" t="s">
        <v>144</v>
      </c>
      <c r="AD7" s="15">
        <f t="shared" si="0"/>
        <v>0.32315164099005877</v>
      </c>
      <c r="AE7" s="15">
        <f t="shared" si="1"/>
        <v>1.0109494053634316E-2</v>
      </c>
      <c r="AF7" s="15">
        <f>IF(OR(V7="",Seeds!$C$8=""),"",V7-Seeds!$C$8)</f>
        <v>-6.0748181918515609E-2</v>
      </c>
      <c r="AG7" s="15" t="str">
        <f>IF(OR(AF7="",Seeds!$C$10=""),"",IF(ABS(AF7)&gt;Seeds!$C$10,"Có","Không"))</f>
        <v>Có</v>
      </c>
    </row>
    <row r="8" spans="1:33" ht="15" customHeight="1" x14ac:dyDescent="0.35">
      <c r="A8" s="13" t="s">
        <v>145</v>
      </c>
      <c r="B8" s="13" t="s">
        <v>29</v>
      </c>
      <c r="C8" s="13" t="s">
        <v>146</v>
      </c>
      <c r="D8" s="13" t="s">
        <v>116</v>
      </c>
      <c r="E8" s="13" t="s">
        <v>109</v>
      </c>
      <c r="F8" s="13">
        <v>1E-3</v>
      </c>
      <c r="G8" s="13">
        <v>0</v>
      </c>
      <c r="H8" s="13">
        <v>512</v>
      </c>
      <c r="I8" s="13">
        <v>20</v>
      </c>
      <c r="J8" s="13" t="s">
        <v>118</v>
      </c>
      <c r="K8" s="13">
        <v>0</v>
      </c>
      <c r="L8" s="13" t="s">
        <v>119</v>
      </c>
      <c r="M8" s="13" t="s">
        <v>120</v>
      </c>
      <c r="N8" s="13" t="s">
        <v>121</v>
      </c>
      <c r="O8" s="13">
        <v>1</v>
      </c>
      <c r="P8" s="14">
        <v>2.269061790045372</v>
      </c>
      <c r="Q8" s="14">
        <v>0.24201237885110929</v>
      </c>
      <c r="R8" s="13">
        <v>18</v>
      </c>
      <c r="S8" s="14">
        <v>0.22688143123626711</v>
      </c>
      <c r="T8" s="14">
        <v>0.24909015470070081</v>
      </c>
      <c r="U8" s="14">
        <v>0.90326154772917966</v>
      </c>
      <c r="V8" s="14">
        <v>0.84369500820348375</v>
      </c>
      <c r="W8" s="13">
        <v>1.402242028450007</v>
      </c>
      <c r="X8" s="13">
        <v>172.986328125</v>
      </c>
      <c r="Y8" s="13" t="s">
        <v>122</v>
      </c>
      <c r="Z8" s="14"/>
      <c r="AA8" s="14"/>
      <c r="AB8" s="13" t="s">
        <v>147</v>
      </c>
      <c r="AC8" s="13" t="s">
        <v>144</v>
      </c>
      <c r="AD8" s="15">
        <f t="shared" si="0"/>
        <v>0.32315164099005877</v>
      </c>
      <c r="AE8" s="15">
        <f t="shared" si="1"/>
        <v>2.2208723464433699E-2</v>
      </c>
      <c r="AF8" s="15">
        <f>IF(OR(V8="",Seeds!$C$8=""),"",V8-Seeds!$C$8)</f>
        <v>-1.2531107481894233E-2</v>
      </c>
      <c r="AG8" s="15" t="str">
        <f>IF(OR(AF8="",Seeds!$C$10=""),"",IF(ABS(AF8)&gt;Seeds!$C$10,"Có","Không"))</f>
        <v>Có</v>
      </c>
    </row>
    <row r="9" spans="1:33" ht="15" customHeight="1" x14ac:dyDescent="0.35">
      <c r="A9" s="13" t="s">
        <v>148</v>
      </c>
      <c r="B9" s="13" t="s">
        <v>29</v>
      </c>
      <c r="C9" s="13" t="s">
        <v>149</v>
      </c>
      <c r="D9" s="13" t="s">
        <v>116</v>
      </c>
      <c r="E9" s="13" t="s">
        <v>109</v>
      </c>
      <c r="F9" s="13">
        <v>3.0000000000000001E-3</v>
      </c>
      <c r="G9" s="13">
        <v>0</v>
      </c>
      <c r="H9" s="13">
        <v>512</v>
      </c>
      <c r="I9" s="13">
        <v>20</v>
      </c>
      <c r="J9" s="13" t="s">
        <v>118</v>
      </c>
      <c r="K9" s="13">
        <v>0</v>
      </c>
      <c r="L9" s="13" t="s">
        <v>119</v>
      </c>
      <c r="M9" s="13" t="s">
        <v>120</v>
      </c>
      <c r="N9" s="13" t="s">
        <v>121</v>
      </c>
      <c r="O9" s="13">
        <v>1</v>
      </c>
      <c r="P9" s="14">
        <v>2.269061790045372</v>
      </c>
      <c r="Q9" s="14">
        <v>0.2100769950030493</v>
      </c>
      <c r="R9" s="13">
        <v>18</v>
      </c>
      <c r="S9" s="14">
        <v>0.18280391407012939</v>
      </c>
      <c r="T9" s="14">
        <v>0.21095671762214649</v>
      </c>
      <c r="U9" s="14">
        <v>0.91776209634044015</v>
      </c>
      <c r="V9" s="14">
        <v>0.86829681030064843</v>
      </c>
      <c r="W9" s="13">
        <v>1.405973307900013</v>
      </c>
      <c r="X9" s="13">
        <v>172.986328125</v>
      </c>
      <c r="Y9" s="13" t="s">
        <v>122</v>
      </c>
      <c r="Z9" s="14"/>
      <c r="AA9" s="14"/>
      <c r="AB9" s="13" t="s">
        <v>150</v>
      </c>
      <c r="AC9" s="13" t="s">
        <v>144</v>
      </c>
      <c r="AD9" s="15">
        <f t="shared" si="0"/>
        <v>0.32315164099005877</v>
      </c>
      <c r="AE9" s="15">
        <f t="shared" si="1"/>
        <v>2.8152803552017103E-2</v>
      </c>
      <c r="AF9" s="15">
        <f>IF(OR(V9="",Seeds!$C$8=""),"",V9-Seeds!$C$8)</f>
        <v>1.2070694615270439E-2</v>
      </c>
      <c r="AG9" s="15" t="str">
        <f>IF(OR(AF9="",Seeds!$C$10=""),"",IF(ABS(AF9)&gt;Seeds!$C$10,"Có","Không"))</f>
        <v>Có</v>
      </c>
    </row>
    <row r="10" spans="1:33" ht="15" customHeight="1" x14ac:dyDescent="0.35">
      <c r="A10" s="13" t="s">
        <v>151</v>
      </c>
      <c r="B10" s="13" t="s">
        <v>29</v>
      </c>
      <c r="C10" s="13" t="s">
        <v>152</v>
      </c>
      <c r="D10" s="13" t="s">
        <v>116</v>
      </c>
      <c r="E10" s="13" t="s">
        <v>153</v>
      </c>
      <c r="F10" s="13">
        <v>2.9999999999999997E-4</v>
      </c>
      <c r="G10" s="13">
        <v>0.01</v>
      </c>
      <c r="H10" s="13">
        <v>512</v>
      </c>
      <c r="I10" s="13">
        <v>20</v>
      </c>
      <c r="J10" s="13" t="s">
        <v>118</v>
      </c>
      <c r="K10" s="13">
        <v>0</v>
      </c>
      <c r="L10" s="13" t="s">
        <v>119</v>
      </c>
      <c r="M10" s="13" t="s">
        <v>120</v>
      </c>
      <c r="N10" s="13" t="s">
        <v>121</v>
      </c>
      <c r="O10" s="13">
        <v>1</v>
      </c>
      <c r="P10" s="14">
        <v>2.269061790045372</v>
      </c>
      <c r="Q10" s="14">
        <v>0.31003053405078629</v>
      </c>
      <c r="R10" s="13">
        <v>20</v>
      </c>
      <c r="S10" s="14">
        <v>0.30052216625213618</v>
      </c>
      <c r="T10" s="14">
        <v>0.31003053405078629</v>
      </c>
      <c r="U10" s="14">
        <v>0.87505647468858239</v>
      </c>
      <c r="V10" s="14">
        <v>0.79364550755211849</v>
      </c>
      <c r="W10" s="13">
        <v>1.41351451645001</v>
      </c>
      <c r="X10" s="13">
        <v>172.986328125</v>
      </c>
      <c r="Y10" s="13" t="s">
        <v>122</v>
      </c>
      <c r="Z10" s="14"/>
      <c r="AA10" s="14"/>
      <c r="AB10" s="13" t="s">
        <v>154</v>
      </c>
      <c r="AC10" s="13" t="s">
        <v>144</v>
      </c>
      <c r="AD10" s="15">
        <f t="shared" si="0"/>
        <v>0.32315164099005877</v>
      </c>
      <c r="AE10" s="15">
        <f t="shared" si="1"/>
        <v>9.5083677986501081E-3</v>
      </c>
      <c r="AF10" s="15">
        <f>IF(OR(V10="",Seeds!$C$8=""),"",V10-Seeds!$C$8)</f>
        <v>-6.2580608133259497E-2</v>
      </c>
      <c r="AG10" s="15" t="str">
        <f>IF(OR(AF10="",Seeds!$C$10=""),"",IF(ABS(AF10)&gt;Seeds!$C$10,"Có","Không"))</f>
        <v>Có</v>
      </c>
    </row>
    <row r="11" spans="1:33" ht="15" customHeight="1" x14ac:dyDescent="0.35">
      <c r="A11" s="13" t="s">
        <v>155</v>
      </c>
      <c r="B11" s="13" t="s">
        <v>29</v>
      </c>
      <c r="C11" s="13" t="s">
        <v>156</v>
      </c>
      <c r="D11" s="13" t="s">
        <v>116</v>
      </c>
      <c r="E11" s="13" t="s">
        <v>153</v>
      </c>
      <c r="F11" s="13">
        <v>1E-3</v>
      </c>
      <c r="G11" s="13">
        <v>0.01</v>
      </c>
      <c r="H11" s="13">
        <v>512</v>
      </c>
      <c r="I11" s="13">
        <v>20</v>
      </c>
      <c r="J11" s="13" t="s">
        <v>118</v>
      </c>
      <c r="K11" s="13">
        <v>0</v>
      </c>
      <c r="L11" s="13" t="s">
        <v>119</v>
      </c>
      <c r="M11" s="13" t="s">
        <v>120</v>
      </c>
      <c r="N11" s="13" t="s">
        <v>121</v>
      </c>
      <c r="O11" s="13">
        <v>1</v>
      </c>
      <c r="P11" s="14">
        <v>2.269061790045372</v>
      </c>
      <c r="Q11" s="14">
        <v>0.24912759535395651</v>
      </c>
      <c r="R11" s="13">
        <v>18</v>
      </c>
      <c r="S11" s="14">
        <v>0.2309274870634079</v>
      </c>
      <c r="T11" s="14">
        <v>0.25138636056921021</v>
      </c>
      <c r="U11" s="14">
        <v>0.8996794389105226</v>
      </c>
      <c r="V11" s="14">
        <v>0.83983236340471346</v>
      </c>
      <c r="W11" s="13">
        <v>1.44932510525</v>
      </c>
      <c r="X11" s="13">
        <v>172.986328125</v>
      </c>
      <c r="Y11" s="13" t="s">
        <v>122</v>
      </c>
      <c r="Z11" s="14"/>
      <c r="AA11" s="14"/>
      <c r="AB11" s="13" t="s">
        <v>157</v>
      </c>
      <c r="AC11" s="13" t="s">
        <v>144</v>
      </c>
      <c r="AD11" s="15">
        <f t="shared" si="0"/>
        <v>0.32315164099005877</v>
      </c>
      <c r="AE11" s="15">
        <f t="shared" si="1"/>
        <v>2.0458873505802305E-2</v>
      </c>
      <c r="AF11" s="15">
        <f>IF(OR(V11="",Seeds!$C$8=""),"",V11-Seeds!$C$8)</f>
        <v>-1.6393752280664531E-2</v>
      </c>
      <c r="AG11" s="15" t="str">
        <f>IF(OR(AF11="",Seeds!$C$10=""),"",IF(ABS(AF11)&gt;Seeds!$C$10,"Có","Không"))</f>
        <v>Có</v>
      </c>
    </row>
    <row r="12" spans="1:33" ht="15" customHeight="1" x14ac:dyDescent="0.35">
      <c r="A12" s="13" t="s">
        <v>158</v>
      </c>
      <c r="B12" s="13" t="s">
        <v>29</v>
      </c>
      <c r="C12" s="13" t="s">
        <v>159</v>
      </c>
      <c r="D12" s="13" t="s">
        <v>116</v>
      </c>
      <c r="E12" s="13" t="s">
        <v>153</v>
      </c>
      <c r="F12" s="13">
        <v>3.0000000000000001E-3</v>
      </c>
      <c r="G12" s="13">
        <v>0.01</v>
      </c>
      <c r="H12" s="13">
        <v>512</v>
      </c>
      <c r="I12" s="13">
        <v>20</v>
      </c>
      <c r="J12" s="13" t="s">
        <v>118</v>
      </c>
      <c r="K12" s="13">
        <v>0</v>
      </c>
      <c r="L12" s="13" t="s">
        <v>119</v>
      </c>
      <c r="M12" s="13" t="s">
        <v>120</v>
      </c>
      <c r="N12" s="13" t="s">
        <v>121</v>
      </c>
      <c r="O12" s="13">
        <v>1</v>
      </c>
      <c r="P12" s="14">
        <v>2.269061790045372</v>
      </c>
      <c r="Q12" s="14">
        <v>0.2131461970661499</v>
      </c>
      <c r="R12" s="13">
        <v>20</v>
      </c>
      <c r="S12" s="14">
        <v>0.19017358696937561</v>
      </c>
      <c r="T12" s="14">
        <v>0.2131461970661499</v>
      </c>
      <c r="U12" s="14">
        <v>0.91368516167896563</v>
      </c>
      <c r="V12" s="14">
        <v>0.87572804299055762</v>
      </c>
      <c r="W12" s="13">
        <v>1.4165746328000071</v>
      </c>
      <c r="X12" s="13">
        <v>172.986328125</v>
      </c>
      <c r="Y12" s="13" t="s">
        <v>122</v>
      </c>
      <c r="Z12" s="14"/>
      <c r="AA12" s="14"/>
      <c r="AB12" s="13" t="s">
        <v>160</v>
      </c>
      <c r="AC12" s="13" t="s">
        <v>144</v>
      </c>
      <c r="AD12" s="15">
        <f t="shared" si="0"/>
        <v>0.32315164099005877</v>
      </c>
      <c r="AE12" s="15">
        <f t="shared" si="1"/>
        <v>2.2972610096774287E-2</v>
      </c>
      <c r="AF12" s="15">
        <f>IF(OR(V12="",Seeds!$C$8=""),"",V12-Seeds!$C$8)</f>
        <v>1.9501927305179634E-2</v>
      </c>
      <c r="AG12" s="15" t="str">
        <f>IF(OR(AF12="",Seeds!$C$10=""),"",IF(ABS(AF12)&gt;Seeds!$C$10,"Có","Không"))</f>
        <v>Có</v>
      </c>
    </row>
    <row r="13" spans="1:33" ht="15" customHeight="1" x14ac:dyDescent="0.35">
      <c r="A13" s="13" t="s">
        <v>161</v>
      </c>
      <c r="B13" s="13" t="s">
        <v>29</v>
      </c>
      <c r="C13" s="13" t="s">
        <v>162</v>
      </c>
      <c r="D13" s="13" t="s">
        <v>116</v>
      </c>
      <c r="E13" s="13" t="s">
        <v>153</v>
      </c>
      <c r="F13" s="13">
        <v>1E-3</v>
      </c>
      <c r="G13" s="13">
        <v>0</v>
      </c>
      <c r="H13" s="13">
        <v>512</v>
      </c>
      <c r="I13" s="13">
        <v>20</v>
      </c>
      <c r="J13" s="13" t="s">
        <v>118</v>
      </c>
      <c r="K13" s="13">
        <v>0</v>
      </c>
      <c r="L13" s="13" t="s">
        <v>119</v>
      </c>
      <c r="M13" s="13" t="s">
        <v>120</v>
      </c>
      <c r="N13" s="13" t="s">
        <v>121</v>
      </c>
      <c r="O13" s="13">
        <v>1</v>
      </c>
      <c r="P13" s="14">
        <v>2.269061790045372</v>
      </c>
      <c r="Q13" s="14">
        <v>0.24201237885110929</v>
      </c>
      <c r="R13" s="13">
        <v>18</v>
      </c>
      <c r="S13" s="14">
        <v>0.22688143123626711</v>
      </c>
      <c r="T13" s="14">
        <v>0.24909015470070081</v>
      </c>
      <c r="U13" s="14">
        <v>0.90326154772917966</v>
      </c>
      <c r="V13" s="14">
        <v>0.84369500820348375</v>
      </c>
      <c r="W13" s="13">
        <v>1.3921828746000131</v>
      </c>
      <c r="X13" s="13">
        <v>172.986328125</v>
      </c>
      <c r="Y13" s="13" t="s">
        <v>122</v>
      </c>
      <c r="Z13" s="14"/>
      <c r="AA13" s="14"/>
      <c r="AB13" s="13" t="s">
        <v>163</v>
      </c>
      <c r="AC13" s="13" t="s">
        <v>144</v>
      </c>
      <c r="AD13" s="15">
        <f t="shared" si="0"/>
        <v>0.32315164099005877</v>
      </c>
      <c r="AE13" s="15">
        <f t="shared" si="1"/>
        <v>2.2208723464433699E-2</v>
      </c>
      <c r="AF13" s="15">
        <f>IF(OR(V13="",Seeds!$C$8=""),"",V13-Seeds!$C$8)</f>
        <v>-1.2531107481894233E-2</v>
      </c>
      <c r="AG13" s="15" t="str">
        <f>IF(OR(AF13="",Seeds!$C$10=""),"",IF(ABS(AF13)&gt;Seeds!$C$10,"Có","Không"))</f>
        <v>Có</v>
      </c>
    </row>
    <row r="14" spans="1:33" ht="15" customHeight="1" x14ac:dyDescent="0.35">
      <c r="A14" s="13" t="s">
        <v>164</v>
      </c>
      <c r="B14" s="13" t="s">
        <v>29</v>
      </c>
      <c r="C14" s="13" t="s">
        <v>165</v>
      </c>
      <c r="D14" s="13" t="s">
        <v>116</v>
      </c>
      <c r="E14" s="13" t="s">
        <v>166</v>
      </c>
      <c r="F14" s="13">
        <v>0.03</v>
      </c>
      <c r="G14" s="13">
        <v>0</v>
      </c>
      <c r="H14" s="13">
        <v>512</v>
      </c>
      <c r="I14" s="13">
        <v>20</v>
      </c>
      <c r="J14" s="13" t="s">
        <v>118</v>
      </c>
      <c r="K14" s="13">
        <v>0</v>
      </c>
      <c r="L14" s="13" t="s">
        <v>119</v>
      </c>
      <c r="M14" s="13" t="s">
        <v>120</v>
      </c>
      <c r="N14" s="13" t="s">
        <v>121</v>
      </c>
      <c r="O14" s="13">
        <v>1</v>
      </c>
      <c r="P14" s="14">
        <v>2.269061790045372</v>
      </c>
      <c r="Q14" s="14">
        <v>0.43070139574954819</v>
      </c>
      <c r="R14" s="13">
        <v>18</v>
      </c>
      <c r="S14" s="14">
        <v>0.42813983776092529</v>
      </c>
      <c r="T14" s="14">
        <v>0.43367024299399848</v>
      </c>
      <c r="U14" s="14">
        <v>0.82030291947247258</v>
      </c>
      <c r="V14" s="14">
        <v>0.66422098284509867</v>
      </c>
      <c r="W14" s="13">
        <v>1.172748173899993</v>
      </c>
      <c r="X14" s="13">
        <v>172.6201171875</v>
      </c>
      <c r="Y14" s="13" t="s">
        <v>122</v>
      </c>
      <c r="Z14" s="14"/>
      <c r="AA14" s="14"/>
      <c r="AB14" s="13" t="s">
        <v>167</v>
      </c>
      <c r="AC14" s="13"/>
      <c r="AD14" s="15">
        <f t="shared" si="0"/>
        <v>0.32315164099005877</v>
      </c>
      <c r="AE14" s="15">
        <f t="shared" si="1"/>
        <v>5.5304052330731879E-3</v>
      </c>
      <c r="AF14" s="15">
        <f>IF(OR(V14="",Seeds!$C$8=""),"",V14-Seeds!$C$8)</f>
        <v>-0.19200513284027931</v>
      </c>
      <c r="AG14" s="15" t="str">
        <f>IF(OR(AF14="",Seeds!$C$10=""),"",IF(ABS(AF14)&gt;Seeds!$C$10,"Có","Không"))</f>
        <v>Có</v>
      </c>
    </row>
    <row r="15" spans="1:33" ht="15" customHeight="1" x14ac:dyDescent="0.35">
      <c r="A15" s="13" t="s">
        <v>168</v>
      </c>
      <c r="B15" s="13" t="s">
        <v>29</v>
      </c>
      <c r="C15" s="13" t="s">
        <v>169</v>
      </c>
      <c r="D15" s="13" t="s">
        <v>116</v>
      </c>
      <c r="E15" s="13" t="s">
        <v>166</v>
      </c>
      <c r="F15" s="13">
        <v>0.1</v>
      </c>
      <c r="G15" s="13">
        <v>0</v>
      </c>
      <c r="H15" s="13">
        <v>512</v>
      </c>
      <c r="I15" s="13">
        <v>20</v>
      </c>
      <c r="J15" s="13" t="s">
        <v>118</v>
      </c>
      <c r="K15" s="13">
        <v>0</v>
      </c>
      <c r="L15" s="13" t="s">
        <v>119</v>
      </c>
      <c r="M15" s="13" t="s">
        <v>120</v>
      </c>
      <c r="N15" s="13" t="s">
        <v>121</v>
      </c>
      <c r="O15" s="13">
        <v>1</v>
      </c>
      <c r="P15" s="14">
        <v>2.269061790045372</v>
      </c>
      <c r="Q15" s="14">
        <v>0.34286888677982941</v>
      </c>
      <c r="R15" s="13">
        <v>18</v>
      </c>
      <c r="S15" s="14">
        <v>0.40572044902801507</v>
      </c>
      <c r="T15" s="14">
        <v>0.41472669506526427</v>
      </c>
      <c r="U15" s="14">
        <v>0.85802801144553686</v>
      </c>
      <c r="V15" s="14">
        <v>0.73968947436446286</v>
      </c>
      <c r="W15" s="13">
        <v>1.208244222400003</v>
      </c>
      <c r="X15" s="13">
        <v>172.6201171875</v>
      </c>
      <c r="Y15" s="13" t="s">
        <v>122</v>
      </c>
      <c r="Z15" s="14"/>
      <c r="AA15" s="14"/>
      <c r="AB15" s="13" t="s">
        <v>170</v>
      </c>
      <c r="AC15" s="13"/>
      <c r="AD15" s="15">
        <f t="shared" si="0"/>
        <v>0.32315164099005877</v>
      </c>
      <c r="AE15" s="15">
        <f t="shared" si="1"/>
        <v>9.0062460372491993E-3</v>
      </c>
      <c r="AF15" s="15">
        <f>IF(OR(V15="",Seeds!$C$8=""),"",V15-Seeds!$C$8)</f>
        <v>-0.11653664132091512</v>
      </c>
      <c r="AG15" s="15" t="str">
        <f>IF(OR(AF15="",Seeds!$C$10=""),"",IF(ABS(AF15)&gt;Seeds!$C$10,"Có","Không"))</f>
        <v>Có</v>
      </c>
    </row>
    <row r="16" spans="1:33" ht="15" customHeight="1" x14ac:dyDescent="0.35">
      <c r="A16" s="13" t="s">
        <v>171</v>
      </c>
      <c r="B16" s="13" t="s">
        <v>29</v>
      </c>
      <c r="C16" s="13" t="s">
        <v>172</v>
      </c>
      <c r="D16" s="13" t="s">
        <v>116</v>
      </c>
      <c r="E16" s="13" t="s">
        <v>166</v>
      </c>
      <c r="F16" s="13">
        <v>0.3</v>
      </c>
      <c r="G16" s="13">
        <v>0</v>
      </c>
      <c r="H16" s="13">
        <v>512</v>
      </c>
      <c r="I16" s="13">
        <v>20</v>
      </c>
      <c r="J16" s="13" t="s">
        <v>118</v>
      </c>
      <c r="K16" s="13">
        <v>0</v>
      </c>
      <c r="L16" s="13" t="s">
        <v>119</v>
      </c>
      <c r="M16" s="13" t="s">
        <v>120</v>
      </c>
      <c r="N16" s="13" t="s">
        <v>121</v>
      </c>
      <c r="O16" s="13">
        <v>1</v>
      </c>
      <c r="P16" s="14">
        <v>2.269061790045372</v>
      </c>
      <c r="Q16" s="14">
        <v>0.28904563712005787</v>
      </c>
      <c r="R16" s="13">
        <v>19</v>
      </c>
      <c r="S16" s="14">
        <v>0.34121092765808098</v>
      </c>
      <c r="T16" s="14">
        <v>0.35809044476356222</v>
      </c>
      <c r="U16" s="14">
        <v>0.88088681396699731</v>
      </c>
      <c r="V16" s="14">
        <v>0.80083855369246038</v>
      </c>
      <c r="W16" s="13">
        <v>1.2230162082000049</v>
      </c>
      <c r="X16" s="13">
        <v>172.6201171875</v>
      </c>
      <c r="Y16" s="13" t="s">
        <v>122</v>
      </c>
      <c r="Z16" s="14"/>
      <c r="AA16" s="14"/>
      <c r="AB16" s="13" t="s">
        <v>173</v>
      </c>
      <c r="AC16" s="13"/>
      <c r="AD16" s="15">
        <f t="shared" si="0"/>
        <v>0.32315164099005877</v>
      </c>
      <c r="AE16" s="15">
        <f t="shared" si="1"/>
        <v>1.6879517105481245E-2</v>
      </c>
      <c r="AF16" s="15">
        <f>IF(OR(V16="",Seeds!$C$8=""),"",V16-Seeds!$C$8)</f>
        <v>-5.5387561992917611E-2</v>
      </c>
      <c r="AG16" s="15" t="str">
        <f>IF(OR(AF16="",Seeds!$C$10=""),"",IF(ABS(AF16)&gt;Seeds!$C$10,"Có","Không"))</f>
        <v>Có</v>
      </c>
    </row>
    <row r="17" spans="1:33" ht="15" customHeight="1" x14ac:dyDescent="0.35">
      <c r="A17" s="13" t="s">
        <v>174</v>
      </c>
      <c r="B17" s="13" t="s">
        <v>29</v>
      </c>
      <c r="C17" s="13" t="s">
        <v>175</v>
      </c>
      <c r="D17" s="13" t="s">
        <v>116</v>
      </c>
      <c r="E17" s="13" t="s">
        <v>117</v>
      </c>
      <c r="F17" s="13">
        <v>0.01</v>
      </c>
      <c r="G17" s="13">
        <v>0</v>
      </c>
      <c r="H17" s="13">
        <v>512</v>
      </c>
      <c r="I17" s="13">
        <v>20</v>
      </c>
      <c r="J17" s="13" t="s">
        <v>118</v>
      </c>
      <c r="K17" s="13">
        <v>0</v>
      </c>
      <c r="L17" s="13" t="s">
        <v>119</v>
      </c>
      <c r="M17" s="13" t="s">
        <v>120</v>
      </c>
      <c r="N17" s="13" t="s">
        <v>121</v>
      </c>
      <c r="O17" s="13">
        <v>1</v>
      </c>
      <c r="P17" s="14">
        <v>2.269061790045372</v>
      </c>
      <c r="Q17" s="14">
        <v>0.31710018387891009</v>
      </c>
      <c r="R17" s="13">
        <v>19</v>
      </c>
      <c r="S17" s="14">
        <v>0.31854834394454962</v>
      </c>
      <c r="T17" s="14">
        <v>0.329368623594817</v>
      </c>
      <c r="U17" s="14">
        <v>0.87158193670532047</v>
      </c>
      <c r="V17" s="14">
        <v>0.76370684223996466</v>
      </c>
      <c r="W17" s="13">
        <v>1.2696546673000031</v>
      </c>
      <c r="X17" s="13">
        <v>172.80322265625</v>
      </c>
      <c r="Y17" s="13" t="s">
        <v>122</v>
      </c>
      <c r="Z17" s="14"/>
      <c r="AA17" s="14"/>
      <c r="AB17" s="13" t="s">
        <v>176</v>
      </c>
      <c r="AC17" s="13" t="s">
        <v>137</v>
      </c>
      <c r="AD17" s="15">
        <f t="shared" si="0"/>
        <v>0.32315164099005877</v>
      </c>
      <c r="AE17" s="15">
        <f t="shared" si="1"/>
        <v>1.0820279650267384E-2</v>
      </c>
      <c r="AF17" s="15">
        <f>IF(OR(V17="",Seeds!$C$8=""),"",V17-Seeds!$C$8)</f>
        <v>-9.251927344541333E-2</v>
      </c>
      <c r="AG17" s="15" t="str">
        <f>IF(OR(AF17="",Seeds!$C$10=""),"",IF(ABS(AF17)&gt;Seeds!$C$10,"Có","Không"))</f>
        <v>Có</v>
      </c>
    </row>
    <row r="18" spans="1:33" ht="15" customHeight="1" x14ac:dyDescent="0.35">
      <c r="A18" s="13" t="s">
        <v>177</v>
      </c>
      <c r="B18" s="13" t="s">
        <v>29</v>
      </c>
      <c r="C18" s="13" t="s">
        <v>178</v>
      </c>
      <c r="D18" s="13" t="s">
        <v>116</v>
      </c>
      <c r="E18" s="13" t="s">
        <v>117</v>
      </c>
      <c r="F18" s="13">
        <v>0.03</v>
      </c>
      <c r="G18" s="13">
        <v>0</v>
      </c>
      <c r="H18" s="13">
        <v>512</v>
      </c>
      <c r="I18" s="13">
        <v>20</v>
      </c>
      <c r="J18" s="13" t="s">
        <v>118</v>
      </c>
      <c r="K18" s="13">
        <v>0</v>
      </c>
      <c r="L18" s="13" t="s">
        <v>119</v>
      </c>
      <c r="M18" s="13" t="s">
        <v>120</v>
      </c>
      <c r="N18" s="13" t="s">
        <v>121</v>
      </c>
      <c r="O18" s="13">
        <v>1</v>
      </c>
      <c r="P18" s="14">
        <v>2.269061790045372</v>
      </c>
      <c r="Q18" s="14">
        <v>0.25843786539879809</v>
      </c>
      <c r="R18" s="13">
        <v>20</v>
      </c>
      <c r="S18" s="14">
        <v>0.24311469420909879</v>
      </c>
      <c r="T18" s="14">
        <v>0.25843786539879809</v>
      </c>
      <c r="U18" s="14">
        <v>0.89591445967169381</v>
      </c>
      <c r="V18" s="14">
        <v>0.82584622481778336</v>
      </c>
      <c r="W18" s="13">
        <v>1.2526102525</v>
      </c>
      <c r="X18" s="13">
        <v>172.80322265625</v>
      </c>
      <c r="Y18" s="13" t="s">
        <v>122</v>
      </c>
      <c r="Z18" s="14"/>
      <c r="AA18" s="14"/>
      <c r="AB18" s="13" t="s">
        <v>179</v>
      </c>
      <c r="AC18" s="13" t="s">
        <v>137</v>
      </c>
      <c r="AD18" s="15">
        <f t="shared" si="0"/>
        <v>0.32315164099005877</v>
      </c>
      <c r="AE18" s="15">
        <f t="shared" si="1"/>
        <v>1.5323171189699308E-2</v>
      </c>
      <c r="AF18" s="15">
        <f>IF(OR(V18="",Seeds!$C$8=""),"",V18-Seeds!$C$8)</f>
        <v>-3.0379890867594628E-2</v>
      </c>
      <c r="AG18" s="15" t="str">
        <f>IF(OR(AF18="",Seeds!$C$10=""),"",IF(ABS(AF18)&gt;Seeds!$C$10,"Có","Không"))</f>
        <v>Có</v>
      </c>
    </row>
    <row r="19" spans="1:33" ht="15" customHeight="1" x14ac:dyDescent="0.35">
      <c r="A19" s="13" t="s">
        <v>180</v>
      </c>
      <c r="B19" s="13" t="s">
        <v>29</v>
      </c>
      <c r="C19" s="13" t="s">
        <v>181</v>
      </c>
      <c r="D19" s="13" t="s">
        <v>116</v>
      </c>
      <c r="E19" s="13" t="s">
        <v>117</v>
      </c>
      <c r="F19" s="13">
        <v>0.1</v>
      </c>
      <c r="G19" s="13">
        <v>0</v>
      </c>
      <c r="H19" s="13">
        <v>512</v>
      </c>
      <c r="I19" s="13">
        <v>20</v>
      </c>
      <c r="J19" s="13" t="s">
        <v>118</v>
      </c>
      <c r="K19" s="13">
        <v>0</v>
      </c>
      <c r="L19" s="13" t="s">
        <v>119</v>
      </c>
      <c r="M19" s="13" t="s">
        <v>120</v>
      </c>
      <c r="N19" s="13" t="s">
        <v>121</v>
      </c>
      <c r="O19" s="13">
        <v>1</v>
      </c>
      <c r="P19" s="14">
        <v>2.269061790045372</v>
      </c>
      <c r="Q19" s="14">
        <v>0.23143395283967449</v>
      </c>
      <c r="R19" s="13">
        <v>20</v>
      </c>
      <c r="S19" s="14">
        <v>0.20908575749874109</v>
      </c>
      <c r="T19" s="14">
        <v>0.23143395283967449</v>
      </c>
      <c r="U19" s="14">
        <v>0.90845721907876331</v>
      </c>
      <c r="V19" s="14">
        <v>0.85837155128100273</v>
      </c>
      <c r="W19" s="13">
        <v>1.2615597635499911</v>
      </c>
      <c r="X19" s="13">
        <v>172.80322265625</v>
      </c>
      <c r="Y19" s="13" t="s">
        <v>122</v>
      </c>
      <c r="Z19" s="14"/>
      <c r="AA19" s="14"/>
      <c r="AB19" s="13" t="s">
        <v>182</v>
      </c>
      <c r="AC19" s="13" t="s">
        <v>183</v>
      </c>
      <c r="AD19" s="15">
        <f t="shared" si="0"/>
        <v>0.32315164099005877</v>
      </c>
      <c r="AE19" s="15">
        <f t="shared" si="1"/>
        <v>2.2348195340933408E-2</v>
      </c>
      <c r="AF19" s="15">
        <f>IF(OR(V19="",Seeds!$C$8=""),"",V19-Seeds!$C$8)</f>
        <v>2.1454355956247451E-3</v>
      </c>
      <c r="AG19" s="15" t="str">
        <f>IF(OR(AF19="",Seeds!$C$10=""),"",IF(ABS(AF19)&gt;Seeds!$C$10,"Có","Không"))</f>
        <v>Không</v>
      </c>
    </row>
    <row r="20" spans="1:33" ht="15" customHeight="1" x14ac:dyDescent="0.35">
      <c r="A20" s="13" t="s">
        <v>184</v>
      </c>
      <c r="B20" s="13" t="s">
        <v>29</v>
      </c>
      <c r="C20" s="13" t="s">
        <v>185</v>
      </c>
      <c r="D20" s="13" t="s">
        <v>116</v>
      </c>
      <c r="E20" s="13" t="s">
        <v>117</v>
      </c>
      <c r="F20" s="13">
        <v>0.3</v>
      </c>
      <c r="G20" s="13">
        <v>0</v>
      </c>
      <c r="H20" s="13">
        <v>512</v>
      </c>
      <c r="I20" s="13">
        <v>20</v>
      </c>
      <c r="J20" s="13" t="s">
        <v>118</v>
      </c>
      <c r="K20" s="13">
        <v>0</v>
      </c>
      <c r="L20" s="13" t="s">
        <v>119</v>
      </c>
      <c r="M20" s="13" t="s">
        <v>120</v>
      </c>
      <c r="N20" s="13" t="s">
        <v>121</v>
      </c>
      <c r="O20" s="13">
        <v>1</v>
      </c>
      <c r="P20" s="14">
        <v>2.269061790045372</v>
      </c>
      <c r="Q20" s="14">
        <v>0.22692902980426849</v>
      </c>
      <c r="R20" s="13">
        <v>20</v>
      </c>
      <c r="S20" s="14">
        <v>0.20019800649642941</v>
      </c>
      <c r="T20" s="14">
        <v>0.22692902980426849</v>
      </c>
      <c r="U20" s="14">
        <v>0.90961898410103048</v>
      </c>
      <c r="V20" s="14">
        <v>0.85205141881576318</v>
      </c>
      <c r="W20" s="13">
        <v>1.2511208406000089</v>
      </c>
      <c r="X20" s="13">
        <v>172.80322265625</v>
      </c>
      <c r="Y20" s="13" t="s">
        <v>122</v>
      </c>
      <c r="Z20" s="14"/>
      <c r="AA20" s="14"/>
      <c r="AB20" s="13" t="s">
        <v>186</v>
      </c>
      <c r="AC20" s="13" t="s">
        <v>137</v>
      </c>
      <c r="AD20" s="15">
        <f t="shared" si="0"/>
        <v>0.32315164099005877</v>
      </c>
      <c r="AE20" s="15">
        <f t="shared" si="1"/>
        <v>2.673102330783908E-2</v>
      </c>
      <c r="AF20" s="15">
        <f>IF(OR(V20="",Seeds!$C$8=""),"",V20-Seeds!$C$8)</f>
        <v>-4.1746968696148024E-3</v>
      </c>
      <c r="AG20" s="15" t="str">
        <f>IF(OR(AF20="",Seeds!$C$10=""),"",IF(ABS(AF20)&gt;Seeds!$C$10,"Có","Không"))</f>
        <v>Có</v>
      </c>
    </row>
    <row r="21" spans="1:33" ht="15" customHeight="1" x14ac:dyDescent="0.35">
      <c r="A21" s="13" t="s">
        <v>187</v>
      </c>
      <c r="B21" s="13" t="s">
        <v>188</v>
      </c>
      <c r="C21" s="13" t="s">
        <v>189</v>
      </c>
      <c r="D21" s="13" t="s">
        <v>116</v>
      </c>
      <c r="E21" s="13" t="s">
        <v>117</v>
      </c>
      <c r="F21" s="13">
        <v>0.1</v>
      </c>
      <c r="G21" s="13">
        <v>0</v>
      </c>
      <c r="H21" s="13">
        <v>128</v>
      </c>
      <c r="I21" s="13">
        <v>20</v>
      </c>
      <c r="J21" s="13" t="s">
        <v>118</v>
      </c>
      <c r="K21" s="13">
        <v>0</v>
      </c>
      <c r="L21" s="13" t="s">
        <v>119</v>
      </c>
      <c r="M21" s="13" t="s">
        <v>120</v>
      </c>
      <c r="N21" s="13" t="s">
        <v>121</v>
      </c>
      <c r="O21" s="13">
        <v>1</v>
      </c>
      <c r="P21" s="14">
        <v>2.269061790045372</v>
      </c>
      <c r="Q21" s="14">
        <v>0.22628335832083779</v>
      </c>
      <c r="R21" s="13">
        <v>18</v>
      </c>
      <c r="S21" s="14">
        <v>0.20279715149402619</v>
      </c>
      <c r="T21" s="14">
        <v>0.2292526878283655</v>
      </c>
      <c r="U21" s="14">
        <v>0.91157677330522147</v>
      </c>
      <c r="V21" s="14">
        <v>0.85625609066175301</v>
      </c>
      <c r="W21" s="13">
        <v>4.889798228800009</v>
      </c>
      <c r="X21" s="13">
        <v>172.7724609375</v>
      </c>
      <c r="Y21" s="13" t="s">
        <v>122</v>
      </c>
      <c r="Z21" s="14"/>
      <c r="AA21" s="14"/>
      <c r="AB21" s="13" t="s">
        <v>190</v>
      </c>
      <c r="AC21" s="13" t="s">
        <v>137</v>
      </c>
      <c r="AD21" s="15">
        <f t="shared" si="0"/>
        <v>0.32315164099005877</v>
      </c>
      <c r="AE21" s="15">
        <f t="shared" si="1"/>
        <v>2.6455536334339308E-2</v>
      </c>
      <c r="AF21" s="15">
        <f>IF(OR(V21="",Seeds!$C$8=""),"",V21-Seeds!$C$8)</f>
        <v>2.9974976375024553E-5</v>
      </c>
      <c r="AG21" s="15" t="str">
        <f>IF(OR(AF21="",Seeds!$C$10=""),"",IF(ABS(AF21)&gt;Seeds!$C$10,"Có","Không"))</f>
        <v>Không</v>
      </c>
    </row>
    <row r="22" spans="1:33" ht="15" customHeight="1" x14ac:dyDescent="0.35">
      <c r="A22" s="13" t="s">
        <v>191</v>
      </c>
      <c r="B22" s="13" t="s">
        <v>188</v>
      </c>
      <c r="C22" s="13" t="s">
        <v>192</v>
      </c>
      <c r="D22" s="13" t="s">
        <v>116</v>
      </c>
      <c r="E22" s="13" t="s">
        <v>117</v>
      </c>
      <c r="F22" s="13">
        <v>0.1</v>
      </c>
      <c r="G22" s="13">
        <v>0</v>
      </c>
      <c r="H22" s="13">
        <v>2048</v>
      </c>
      <c r="I22" s="13">
        <v>20</v>
      </c>
      <c r="J22" s="13" t="s">
        <v>118</v>
      </c>
      <c r="K22" s="13">
        <v>0</v>
      </c>
      <c r="L22" s="13" t="s">
        <v>119</v>
      </c>
      <c r="M22" s="13" t="s">
        <v>120</v>
      </c>
      <c r="N22" s="13" t="s">
        <v>121</v>
      </c>
      <c r="O22" s="13">
        <v>1</v>
      </c>
      <c r="P22" s="14">
        <v>2.269061790045372</v>
      </c>
      <c r="Q22" s="14">
        <v>0.28923476958515409</v>
      </c>
      <c r="R22" s="13">
        <v>18</v>
      </c>
      <c r="S22" s="14">
        <v>0.27711640384674069</v>
      </c>
      <c r="T22" s="14">
        <v>0.29297290757689259</v>
      </c>
      <c r="U22" s="14">
        <v>0.88303823067489939</v>
      </c>
      <c r="V22" s="14">
        <v>0.80900191652021458</v>
      </c>
      <c r="W22" s="13">
        <v>0.34934878254999829</v>
      </c>
      <c r="X22" s="13">
        <v>173.04931640625</v>
      </c>
      <c r="Y22" s="13" t="s">
        <v>122</v>
      </c>
      <c r="Z22" s="14"/>
      <c r="AA22" s="14"/>
      <c r="AB22" s="13" t="s">
        <v>193</v>
      </c>
      <c r="AC22" s="13" t="s">
        <v>137</v>
      </c>
      <c r="AD22" s="15">
        <f t="shared" si="0"/>
        <v>0.32315164099005877</v>
      </c>
      <c r="AE22" s="15">
        <f t="shared" si="1"/>
        <v>1.5856503730151905E-2</v>
      </c>
      <c r="AF22" s="15">
        <f>IF(OR(V22="",Seeds!$C$8=""),"",V22-Seeds!$C$8)</f>
        <v>-4.7224199165163405E-2</v>
      </c>
      <c r="AG22" s="15" t="str">
        <f>IF(OR(AF22="",Seeds!$C$10=""),"",IF(ABS(AF22)&gt;Seeds!$C$10,"Có","Không"))</f>
        <v>Có</v>
      </c>
    </row>
    <row r="23" spans="1:33" ht="15" customHeight="1" x14ac:dyDescent="0.35">
      <c r="A23" s="13" t="s">
        <v>194</v>
      </c>
      <c r="B23" s="13" t="s">
        <v>188</v>
      </c>
      <c r="C23" s="13" t="s">
        <v>195</v>
      </c>
      <c r="D23" s="13" t="s">
        <v>116</v>
      </c>
      <c r="E23" s="13" t="s">
        <v>117</v>
      </c>
      <c r="F23" s="13">
        <v>0.4</v>
      </c>
      <c r="G23" s="13">
        <v>0</v>
      </c>
      <c r="H23" s="13">
        <v>2048</v>
      </c>
      <c r="I23" s="13">
        <v>20</v>
      </c>
      <c r="J23" s="13" t="s">
        <v>118</v>
      </c>
      <c r="K23" s="13">
        <v>0</v>
      </c>
      <c r="L23" s="13" t="s">
        <v>119</v>
      </c>
      <c r="M23" s="13" t="s">
        <v>120</v>
      </c>
      <c r="N23" s="13" t="s">
        <v>121</v>
      </c>
      <c r="O23" s="13">
        <v>1</v>
      </c>
      <c r="P23" s="14">
        <v>2.269061790045372</v>
      </c>
      <c r="Q23" s="14">
        <v>0.24302765537480611</v>
      </c>
      <c r="R23" s="13">
        <v>18</v>
      </c>
      <c r="S23" s="14">
        <v>0.21925095648288731</v>
      </c>
      <c r="T23" s="14">
        <v>0.24428612429337909</v>
      </c>
      <c r="U23" s="14">
        <v>0.90316473397732411</v>
      </c>
      <c r="V23" s="14">
        <v>0.84646098680040893</v>
      </c>
      <c r="W23" s="13">
        <v>0.32368953590001859</v>
      </c>
      <c r="X23" s="13">
        <v>173.04931640625</v>
      </c>
      <c r="Y23" s="13" t="s">
        <v>122</v>
      </c>
      <c r="Z23" s="14"/>
      <c r="AA23" s="14"/>
      <c r="AB23" s="13" t="s">
        <v>196</v>
      </c>
      <c r="AC23" s="13" t="s">
        <v>137</v>
      </c>
      <c r="AD23" s="15">
        <f t="shared" si="0"/>
        <v>0.32315164099005877</v>
      </c>
      <c r="AE23" s="15">
        <f t="shared" si="1"/>
        <v>2.5035167810491782E-2</v>
      </c>
      <c r="AF23" s="15">
        <f>IF(OR(V23="",Seeds!$C$8=""),"",V23-Seeds!$C$8)</f>
        <v>-9.7651288849690543E-3</v>
      </c>
      <c r="AG23" s="15" t="str">
        <f>IF(OR(AF23="",Seeds!$C$10=""),"",IF(ABS(AF23)&gt;Seeds!$C$10,"Có","Không"))</f>
        <v>Có</v>
      </c>
    </row>
    <row r="24" spans="1:33" ht="15" customHeight="1" x14ac:dyDescent="0.35">
      <c r="A24" s="13" t="s">
        <v>197</v>
      </c>
      <c r="B24" s="13" t="s">
        <v>188</v>
      </c>
      <c r="C24" s="13" t="s">
        <v>198</v>
      </c>
      <c r="D24" s="13" t="s">
        <v>116</v>
      </c>
      <c r="E24" s="13" t="s">
        <v>117</v>
      </c>
      <c r="F24" s="13">
        <v>0.1</v>
      </c>
      <c r="G24" s="13">
        <v>0</v>
      </c>
      <c r="H24" s="13">
        <v>512</v>
      </c>
      <c r="I24" s="13">
        <v>20</v>
      </c>
      <c r="J24" s="13" t="s">
        <v>199</v>
      </c>
      <c r="K24" s="13">
        <v>0</v>
      </c>
      <c r="L24" s="13" t="s">
        <v>119</v>
      </c>
      <c r="M24" s="13" t="s">
        <v>120</v>
      </c>
      <c r="N24" s="13" t="s">
        <v>121</v>
      </c>
      <c r="O24" s="13">
        <v>1</v>
      </c>
      <c r="P24" s="14">
        <v>1.909942441385083</v>
      </c>
      <c r="Q24" s="14">
        <v>0.19636496748496421</v>
      </c>
      <c r="R24" s="13">
        <v>20</v>
      </c>
      <c r="S24" s="14">
        <v>0.16802977972030639</v>
      </c>
      <c r="T24" s="14">
        <v>0.19636496748496421</v>
      </c>
      <c r="U24" s="14">
        <v>0.92221552892579761</v>
      </c>
      <c r="V24" s="14">
        <v>0.87193809723394688</v>
      </c>
      <c r="W24" s="13">
        <v>1.4272034623000081</v>
      </c>
      <c r="X24" s="13">
        <v>172.89404296875</v>
      </c>
      <c r="Y24" s="13" t="s">
        <v>122</v>
      </c>
      <c r="Z24" s="14"/>
      <c r="AA24" s="14"/>
      <c r="AB24" s="13" t="s">
        <v>200</v>
      </c>
      <c r="AC24" s="13" t="s">
        <v>137</v>
      </c>
      <c r="AD24" s="15">
        <f t="shared" si="0"/>
        <v>-3.5967707670230276E-2</v>
      </c>
      <c r="AE24" s="15">
        <f t="shared" si="1"/>
        <v>2.8335187764657821E-2</v>
      </c>
      <c r="AF24" s="15">
        <f>IF(OR(V24="",Seeds!$C$8=""),"",V24-Seeds!$C$8)</f>
        <v>1.5711981548568899E-2</v>
      </c>
      <c r="AG24" s="15" t="str">
        <f>IF(OR(AF24="",Seeds!$C$10=""),"",IF(ABS(AF24)&gt;Seeds!$C$10,"Có","Không"))</f>
        <v>Có</v>
      </c>
    </row>
    <row r="25" spans="1:33" ht="15" customHeight="1" x14ac:dyDescent="0.35">
      <c r="A25" s="13" t="s">
        <v>201</v>
      </c>
      <c r="B25" s="13" t="s">
        <v>188</v>
      </c>
      <c r="C25" s="13" t="s">
        <v>202</v>
      </c>
      <c r="D25" s="13" t="s">
        <v>116</v>
      </c>
      <c r="E25" s="13" t="s">
        <v>117</v>
      </c>
      <c r="F25" s="13">
        <v>0.1</v>
      </c>
      <c r="G25" s="13">
        <v>0</v>
      </c>
      <c r="H25" s="13">
        <v>512</v>
      </c>
      <c r="I25" s="13">
        <v>40</v>
      </c>
      <c r="J25" s="13" t="s">
        <v>118</v>
      </c>
      <c r="K25" s="13">
        <v>0</v>
      </c>
      <c r="L25" s="13" t="s">
        <v>119</v>
      </c>
      <c r="M25" s="13" t="s">
        <v>120</v>
      </c>
      <c r="N25" s="13" t="s">
        <v>121</v>
      </c>
      <c r="O25" s="13">
        <v>1</v>
      </c>
      <c r="P25" s="14">
        <v>2.269061790045372</v>
      </c>
      <c r="Q25" s="14">
        <v>0.20086361359480201</v>
      </c>
      <c r="R25" s="13">
        <v>36</v>
      </c>
      <c r="S25" s="14">
        <v>0.19281958351612091</v>
      </c>
      <c r="T25" s="14">
        <v>0.22819758079830149</v>
      </c>
      <c r="U25" s="14">
        <v>0.92266732643445704</v>
      </c>
      <c r="V25" s="14">
        <v>0.8742958875384107</v>
      </c>
      <c r="W25" s="13">
        <v>1.235126316600025</v>
      </c>
      <c r="X25" s="13">
        <v>172.80322265625</v>
      </c>
      <c r="Y25" s="13" t="s">
        <v>122</v>
      </c>
      <c r="Z25" s="14"/>
      <c r="AA25" s="14"/>
      <c r="AB25" s="13" t="s">
        <v>203</v>
      </c>
      <c r="AC25" s="13" t="s">
        <v>137</v>
      </c>
      <c r="AD25" s="15">
        <f t="shared" si="0"/>
        <v>0.32315164099005877</v>
      </c>
      <c r="AE25" s="15">
        <f t="shared" si="1"/>
        <v>3.5377997282180579E-2</v>
      </c>
      <c r="AF25" s="15">
        <f>IF(OR(V25="",Seeds!$C$8=""),"",V25-Seeds!$C$8)</f>
        <v>1.8069771853032712E-2</v>
      </c>
      <c r="AG25" s="15" t="str">
        <f>IF(OR(AF25="",Seeds!$C$10=""),"",IF(ABS(AF25)&gt;Seeds!$C$10,"Có","Không"))</f>
        <v>Có</v>
      </c>
    </row>
    <row r="26" spans="1:33" ht="15" customHeight="1" x14ac:dyDescent="0.35">
      <c r="A26" s="13" t="s">
        <v>204</v>
      </c>
      <c r="B26" s="13" t="s">
        <v>188</v>
      </c>
      <c r="C26" s="13" t="s">
        <v>205</v>
      </c>
      <c r="D26" s="13" t="s">
        <v>116</v>
      </c>
      <c r="E26" s="13" t="s">
        <v>117</v>
      </c>
      <c r="F26" s="13">
        <v>0.1</v>
      </c>
      <c r="G26" s="13">
        <v>1E-4</v>
      </c>
      <c r="H26" s="13">
        <v>512</v>
      </c>
      <c r="I26" s="13">
        <v>20</v>
      </c>
      <c r="J26" s="13" t="s">
        <v>118</v>
      </c>
      <c r="K26" s="13">
        <v>0</v>
      </c>
      <c r="L26" s="13" t="s">
        <v>119</v>
      </c>
      <c r="M26" s="13" t="s">
        <v>120</v>
      </c>
      <c r="N26" s="13" t="s">
        <v>121</v>
      </c>
      <c r="O26" s="13">
        <v>1</v>
      </c>
      <c r="P26" s="14">
        <v>2.269061790045372</v>
      </c>
      <c r="Q26" s="14">
        <v>0.26249341835679368</v>
      </c>
      <c r="R26" s="13">
        <v>20</v>
      </c>
      <c r="S26" s="14">
        <v>0.2473677314424515</v>
      </c>
      <c r="T26" s="14">
        <v>0.26249341835679368</v>
      </c>
      <c r="U26" s="14">
        <v>0.89459133839633398</v>
      </c>
      <c r="V26" s="14">
        <v>0.8349632410323391</v>
      </c>
      <c r="W26" s="13">
        <v>1.267615684200007</v>
      </c>
      <c r="X26" s="13">
        <v>172.80322265625</v>
      </c>
      <c r="Y26" s="13" t="s">
        <v>122</v>
      </c>
      <c r="Z26" s="14"/>
      <c r="AA26" s="14"/>
      <c r="AB26" s="13" t="s">
        <v>206</v>
      </c>
      <c r="AC26" s="13" t="s">
        <v>137</v>
      </c>
      <c r="AD26" s="15">
        <f t="shared" si="0"/>
        <v>0.32315164099005877</v>
      </c>
      <c r="AE26" s="15">
        <f t="shared" si="1"/>
        <v>1.5125686914342185E-2</v>
      </c>
      <c r="AF26" s="15">
        <f>IF(OR(V26="",Seeds!$C$8=""),"",V26-Seeds!$C$8)</f>
        <v>-2.1262874653038888E-2</v>
      </c>
      <c r="AG26" s="15" t="str">
        <f>IF(OR(AF26="",Seeds!$C$10=""),"",IF(ABS(AF26)&gt;Seeds!$C$10,"Có","Không"))</f>
        <v>Có</v>
      </c>
    </row>
    <row r="27" spans="1:33" ht="15" customHeight="1" x14ac:dyDescent="0.35">
      <c r="A27" s="13" t="s">
        <v>207</v>
      </c>
      <c r="B27" s="13" t="s">
        <v>188</v>
      </c>
      <c r="C27" s="13" t="s">
        <v>208</v>
      </c>
      <c r="D27" s="13" t="s">
        <v>116</v>
      </c>
      <c r="E27" s="13" t="s">
        <v>117</v>
      </c>
      <c r="F27" s="13">
        <v>0.1</v>
      </c>
      <c r="G27" s="13">
        <v>0</v>
      </c>
      <c r="H27" s="13">
        <v>512</v>
      </c>
      <c r="I27" s="13">
        <v>20</v>
      </c>
      <c r="J27" s="13" t="s">
        <v>209</v>
      </c>
      <c r="K27" s="13">
        <v>0</v>
      </c>
      <c r="L27" s="13" t="s">
        <v>119</v>
      </c>
      <c r="M27" s="13" t="s">
        <v>120</v>
      </c>
      <c r="N27" s="13" t="s">
        <v>121</v>
      </c>
      <c r="O27" s="13">
        <v>1</v>
      </c>
      <c r="P27" s="14">
        <v>1.918216562458853</v>
      </c>
      <c r="Q27" s="14">
        <v>0.20209871346221489</v>
      </c>
      <c r="R27" s="13">
        <v>19</v>
      </c>
      <c r="S27" s="14">
        <v>0.17577568554878231</v>
      </c>
      <c r="T27" s="14">
        <v>0.20433879457498311</v>
      </c>
      <c r="U27" s="14">
        <v>0.92087089348335882</v>
      </c>
      <c r="V27" s="14">
        <v>0.87245229672011615</v>
      </c>
      <c r="W27" s="13">
        <v>1.280157635299997</v>
      </c>
      <c r="X27" s="13">
        <v>190.10107421875</v>
      </c>
      <c r="Y27" s="13" t="s">
        <v>122</v>
      </c>
      <c r="Z27" s="14"/>
      <c r="AA27" s="14"/>
      <c r="AB27" s="13" t="s">
        <v>210</v>
      </c>
      <c r="AC27" s="13" t="s">
        <v>137</v>
      </c>
      <c r="AD27" s="15">
        <f t="shared" si="0"/>
        <v>-2.7693586596460262E-2</v>
      </c>
      <c r="AE27" s="15">
        <f t="shared" si="1"/>
        <v>2.8563109026200795E-2</v>
      </c>
      <c r="AF27" s="15">
        <f>IF(OR(V27="",Seeds!$C$8=""),"",V27-Seeds!$C$8)</f>
        <v>1.6226181034738163E-2</v>
      </c>
      <c r="AG27" s="15" t="str">
        <f>IF(OR(AF27="",Seeds!$C$10=""),"",IF(ABS(AF27)&gt;Seeds!$C$10,"Có","Không"))</f>
        <v>Có</v>
      </c>
    </row>
    <row r="28" spans="1:33" ht="15" customHeight="1" x14ac:dyDescent="0.35">
      <c r="A28" s="13" t="s">
        <v>211</v>
      </c>
      <c r="B28" s="13" t="s">
        <v>46</v>
      </c>
      <c r="C28" s="13" t="s">
        <v>212</v>
      </c>
      <c r="D28" s="13" t="s">
        <v>116</v>
      </c>
      <c r="E28" s="13" t="s">
        <v>117</v>
      </c>
      <c r="F28" s="13">
        <v>0.1</v>
      </c>
      <c r="G28" s="13">
        <v>0</v>
      </c>
      <c r="H28" s="13">
        <v>512</v>
      </c>
      <c r="I28" s="13">
        <v>20</v>
      </c>
      <c r="J28" s="13" t="s">
        <v>118</v>
      </c>
      <c r="K28" s="13">
        <v>0.1</v>
      </c>
      <c r="L28" s="13" t="s">
        <v>119</v>
      </c>
      <c r="M28" s="13" t="s">
        <v>120</v>
      </c>
      <c r="N28" s="13" t="s">
        <v>121</v>
      </c>
      <c r="O28" s="13">
        <v>1</v>
      </c>
      <c r="P28" s="14">
        <v>2.269061790045372</v>
      </c>
      <c r="Q28" s="14">
        <v>0.25069530415097951</v>
      </c>
      <c r="R28" s="13">
        <v>19</v>
      </c>
      <c r="S28" s="14">
        <v>0.2408791461229324</v>
      </c>
      <c r="T28" s="14">
        <v>0.25214298799804208</v>
      </c>
      <c r="U28" s="14">
        <v>0.89729136636475115</v>
      </c>
      <c r="V28" s="14">
        <v>0.83683356080200177</v>
      </c>
      <c r="W28" s="13">
        <v>1.3548796840999779</v>
      </c>
      <c r="X28" s="13">
        <v>172.80322265625</v>
      </c>
      <c r="Y28" s="13" t="s">
        <v>122</v>
      </c>
      <c r="Z28" s="14"/>
      <c r="AA28" s="14"/>
      <c r="AB28" s="13" t="s">
        <v>213</v>
      </c>
      <c r="AC28" s="13" t="s">
        <v>137</v>
      </c>
      <c r="AD28" s="15">
        <f t="shared" si="0"/>
        <v>0.32315164099005877</v>
      </c>
      <c r="AE28" s="15">
        <f t="shared" si="1"/>
        <v>1.1263841875109676E-2</v>
      </c>
      <c r="AF28" s="15">
        <f>IF(OR(V28="",Seeds!$C$8=""),"",V28-Seeds!$C$8)</f>
        <v>-1.9392554883376212E-2</v>
      </c>
      <c r="AG28" s="15" t="str">
        <f>IF(OR(AF28="",Seeds!$C$10=""),"",IF(ABS(AF28)&gt;Seeds!$C$10,"Có","Không"))</f>
        <v>Có</v>
      </c>
    </row>
    <row r="29" spans="1:33" ht="15" customHeight="1" x14ac:dyDescent="0.35">
      <c r="A29" s="13" t="s">
        <v>214</v>
      </c>
      <c r="B29" s="13" t="s">
        <v>46</v>
      </c>
      <c r="C29" s="13" t="s">
        <v>215</v>
      </c>
      <c r="D29" s="13" t="s">
        <v>116</v>
      </c>
      <c r="E29" s="13" t="s">
        <v>117</v>
      </c>
      <c r="F29" s="13">
        <v>0.1</v>
      </c>
      <c r="G29" s="13">
        <v>0</v>
      </c>
      <c r="H29" s="13">
        <v>512</v>
      </c>
      <c r="I29" s="13">
        <v>20</v>
      </c>
      <c r="J29" s="13" t="s">
        <v>118</v>
      </c>
      <c r="K29" s="13">
        <v>0.3</v>
      </c>
      <c r="L29" s="13" t="s">
        <v>119</v>
      </c>
      <c r="M29" s="13" t="s">
        <v>120</v>
      </c>
      <c r="N29" s="13" t="s">
        <v>121</v>
      </c>
      <c r="O29" s="13">
        <v>1</v>
      </c>
      <c r="P29" s="14">
        <v>2.269061790045372</v>
      </c>
      <c r="Q29" s="14">
        <v>0.32140534296905909</v>
      </c>
      <c r="R29" s="13">
        <v>18</v>
      </c>
      <c r="S29" s="14">
        <v>0.32128960434913628</v>
      </c>
      <c r="T29" s="14">
        <v>0.32590527038576678</v>
      </c>
      <c r="U29" s="14">
        <v>0.86903250790645636</v>
      </c>
      <c r="V29" s="14">
        <v>0.77687607398886827</v>
      </c>
      <c r="W29" s="13">
        <v>1.3579381034999869</v>
      </c>
      <c r="X29" s="13">
        <v>172.80322265625</v>
      </c>
      <c r="Y29" s="13" t="s">
        <v>122</v>
      </c>
      <c r="Z29" s="14"/>
      <c r="AA29" s="14"/>
      <c r="AB29" s="13" t="s">
        <v>216</v>
      </c>
      <c r="AC29" s="13" t="s">
        <v>137</v>
      </c>
      <c r="AD29" s="15">
        <f t="shared" si="0"/>
        <v>0.32315164099005877</v>
      </c>
      <c r="AE29" s="15">
        <f t="shared" si="1"/>
        <v>4.6156660366304947E-3</v>
      </c>
      <c r="AF29" s="15">
        <f>IF(OR(V29="",Seeds!$C$8=""),"",V29-Seeds!$C$8)</f>
        <v>-7.9350041696509721E-2</v>
      </c>
      <c r="AG29" s="15" t="str">
        <f>IF(OR(AF29="",Seeds!$C$10=""),"",IF(ABS(AF29)&gt;Seeds!$C$10,"Có","Không"))</f>
        <v>Có</v>
      </c>
    </row>
    <row r="30" spans="1:33" ht="15" customHeight="1" x14ac:dyDescent="0.35">
      <c r="A30" s="13" t="s">
        <v>217</v>
      </c>
      <c r="B30" s="13" t="s">
        <v>46</v>
      </c>
      <c r="C30" s="13" t="s">
        <v>218</v>
      </c>
      <c r="D30" s="13" t="s">
        <v>116</v>
      </c>
      <c r="E30" s="13" t="s">
        <v>117</v>
      </c>
      <c r="F30" s="13">
        <v>0.1</v>
      </c>
      <c r="G30" s="13">
        <v>0</v>
      </c>
      <c r="H30" s="13">
        <v>512</v>
      </c>
      <c r="I30" s="13">
        <v>20</v>
      </c>
      <c r="J30" s="13" t="s">
        <v>118</v>
      </c>
      <c r="K30" s="13">
        <v>0.5</v>
      </c>
      <c r="L30" s="13" t="s">
        <v>119</v>
      </c>
      <c r="M30" s="13" t="s">
        <v>120</v>
      </c>
      <c r="N30" s="13" t="s">
        <v>121</v>
      </c>
      <c r="O30" s="13">
        <v>1</v>
      </c>
      <c r="P30" s="14">
        <v>2.269061790045372</v>
      </c>
      <c r="Q30" s="14">
        <v>0.4048097931299503</v>
      </c>
      <c r="R30" s="13">
        <v>18</v>
      </c>
      <c r="S30" s="14">
        <v>0.40417061752319328</v>
      </c>
      <c r="T30" s="14">
        <v>0.40799530517911081</v>
      </c>
      <c r="U30" s="14">
        <v>0.82783287795013016</v>
      </c>
      <c r="V30" s="14">
        <v>0.66295857374748768</v>
      </c>
      <c r="W30" s="13">
        <v>1.395820226399985</v>
      </c>
      <c r="X30" s="13">
        <v>172.80322265625</v>
      </c>
      <c r="Y30" s="13" t="s">
        <v>122</v>
      </c>
      <c r="Z30" s="14"/>
      <c r="AA30" s="14"/>
      <c r="AB30" s="13" t="s">
        <v>219</v>
      </c>
      <c r="AC30" s="13" t="s">
        <v>137</v>
      </c>
      <c r="AD30" s="15">
        <f t="shared" si="0"/>
        <v>0.32315164099005877</v>
      </c>
      <c r="AE30" s="15">
        <f t="shared" si="1"/>
        <v>3.8246876559175358E-3</v>
      </c>
      <c r="AF30" s="15">
        <f>IF(OR(V30="",Seeds!$C$8=""),"",V30-Seeds!$C$8)</f>
        <v>-0.19326754193789031</v>
      </c>
      <c r="AG30" s="15" t="str">
        <f>IF(OR(AF30="",Seeds!$C$10=""),"",IF(ABS(AF30)&gt;Seeds!$C$10,"Có","Không"))</f>
        <v>Có</v>
      </c>
    </row>
    <row r="31" spans="1:33" ht="15" customHeight="1" x14ac:dyDescent="0.35">
      <c r="A31" s="13" t="s">
        <v>220</v>
      </c>
      <c r="B31" s="13" t="s">
        <v>221</v>
      </c>
      <c r="C31" s="13" t="s">
        <v>222</v>
      </c>
      <c r="D31" s="13" t="s">
        <v>116</v>
      </c>
      <c r="E31" s="13" t="s">
        <v>117</v>
      </c>
      <c r="F31" s="13">
        <v>0.1</v>
      </c>
      <c r="G31" s="13">
        <v>0</v>
      </c>
      <c r="H31" s="13">
        <v>512</v>
      </c>
      <c r="I31" s="13">
        <v>20</v>
      </c>
      <c r="J31" s="13" t="s">
        <v>118</v>
      </c>
      <c r="K31" s="13">
        <v>0</v>
      </c>
      <c r="L31" s="13">
        <v>0.57999999999999996</v>
      </c>
      <c r="M31" s="13" t="s">
        <v>120</v>
      </c>
      <c r="N31" s="13" t="s">
        <v>121</v>
      </c>
      <c r="O31" s="13">
        <v>1</v>
      </c>
      <c r="P31" s="14">
        <v>2.269061790045372</v>
      </c>
      <c r="Q31" s="14">
        <v>0.2280199665053905</v>
      </c>
      <c r="R31" s="13">
        <v>18</v>
      </c>
      <c r="S31" s="14">
        <v>0.21072073791980739</v>
      </c>
      <c r="T31" s="14">
        <v>0.2337757322533873</v>
      </c>
      <c r="U31" s="14">
        <v>0.90901658742281788</v>
      </c>
      <c r="V31" s="14">
        <v>0.85906994990042052</v>
      </c>
      <c r="W31" s="13">
        <v>1.2299745790500201</v>
      </c>
      <c r="X31" s="13">
        <v>172.80322265625</v>
      </c>
      <c r="Y31" s="13" t="s">
        <v>122</v>
      </c>
      <c r="Z31" s="14"/>
      <c r="AA31" s="14"/>
      <c r="AB31" s="13" t="s">
        <v>223</v>
      </c>
      <c r="AC31" s="13" t="s">
        <v>137</v>
      </c>
      <c r="AD31" s="15">
        <f t="shared" si="0"/>
        <v>0.32315164099005877</v>
      </c>
      <c r="AE31" s="15">
        <f t="shared" si="1"/>
        <v>2.3054994333579909E-2</v>
      </c>
      <c r="AF31" s="15">
        <f>IF(OR(V31="",Seeds!$C$8=""),"",V31-Seeds!$C$8)</f>
        <v>2.8438342150425289E-3</v>
      </c>
      <c r="AG31" s="15" t="str">
        <f>IF(OR(AF31="",Seeds!$C$10=""),"",IF(ABS(AF31)&gt;Seeds!$C$10,"Có","Không"))</f>
        <v>Không</v>
      </c>
    </row>
    <row r="32" spans="1:33" ht="15" customHeight="1" x14ac:dyDescent="0.35">
      <c r="A32" s="13" t="s">
        <v>224</v>
      </c>
      <c r="B32" s="13" t="s">
        <v>221</v>
      </c>
      <c r="C32" s="13" t="s">
        <v>225</v>
      </c>
      <c r="D32" s="13" t="s">
        <v>116</v>
      </c>
      <c r="E32" s="13" t="s">
        <v>117</v>
      </c>
      <c r="F32" s="13">
        <v>1</v>
      </c>
      <c r="G32" s="13">
        <v>0</v>
      </c>
      <c r="H32" s="13">
        <v>512</v>
      </c>
      <c r="I32" s="13">
        <v>20</v>
      </c>
      <c r="J32" s="13" t="s">
        <v>118</v>
      </c>
      <c r="K32" s="13">
        <v>0</v>
      </c>
      <c r="L32" s="13">
        <v>0.57999999999999996</v>
      </c>
      <c r="M32" s="13" t="s">
        <v>120</v>
      </c>
      <c r="N32" s="13" t="s">
        <v>121</v>
      </c>
      <c r="O32" s="13">
        <v>1</v>
      </c>
      <c r="P32" s="14">
        <v>2.269061790045372</v>
      </c>
      <c r="Q32" s="14">
        <v>0.30701800245305272</v>
      </c>
      <c r="R32" s="13">
        <v>15</v>
      </c>
      <c r="S32" s="14">
        <v>0.33411807062149051</v>
      </c>
      <c r="T32" s="14">
        <v>0.36126809735087961</v>
      </c>
      <c r="U32" s="14">
        <v>0.88270476108517459</v>
      </c>
      <c r="V32" s="14">
        <v>0.81242109745891067</v>
      </c>
      <c r="W32" s="13">
        <v>1.253605698499985</v>
      </c>
      <c r="X32" s="13">
        <v>172.80322265625</v>
      </c>
      <c r="Y32" s="13" t="s">
        <v>122</v>
      </c>
      <c r="Z32" s="14"/>
      <c r="AA32" s="14"/>
      <c r="AB32" s="13" t="s">
        <v>226</v>
      </c>
      <c r="AC32" s="13" t="s">
        <v>137</v>
      </c>
      <c r="AD32" s="15">
        <f t="shared" si="0"/>
        <v>0.32315164099005877</v>
      </c>
      <c r="AE32" s="15">
        <f t="shared" si="1"/>
        <v>2.7150026729389098E-2</v>
      </c>
      <c r="AF32" s="15">
        <f>IF(OR(V32="",Seeds!$C$8=""),"",V32-Seeds!$C$8)</f>
        <v>-4.3805018226467318E-2</v>
      </c>
      <c r="AG32" s="15" t="str">
        <f>IF(OR(AF32="",Seeds!$C$10=""),"",IF(ABS(AF32)&gt;Seeds!$C$10,"Có","Không"))</f>
        <v>Có</v>
      </c>
    </row>
    <row r="33" spans="1:33" ht="15" customHeight="1" x14ac:dyDescent="0.35">
      <c r="A33" s="13" t="s">
        <v>227</v>
      </c>
      <c r="B33" s="13" t="s">
        <v>221</v>
      </c>
      <c r="C33" s="13" t="s">
        <v>228</v>
      </c>
      <c r="D33" s="13" t="s">
        <v>116</v>
      </c>
      <c r="E33" s="13" t="s">
        <v>117</v>
      </c>
      <c r="F33" s="13">
        <v>3</v>
      </c>
      <c r="G33" s="13">
        <v>0</v>
      </c>
      <c r="H33" s="13">
        <v>512</v>
      </c>
      <c r="I33" s="13">
        <v>20</v>
      </c>
      <c r="J33" s="13" t="s">
        <v>118</v>
      </c>
      <c r="K33" s="13">
        <v>0</v>
      </c>
      <c r="L33" s="13">
        <v>0.57999999999999996</v>
      </c>
      <c r="M33" s="13" t="s">
        <v>120</v>
      </c>
      <c r="N33" s="13" t="s">
        <v>121</v>
      </c>
      <c r="O33" s="13">
        <v>1</v>
      </c>
      <c r="P33" s="14">
        <v>2.269061790045372</v>
      </c>
      <c r="Q33" s="14">
        <v>0.94467939815208146</v>
      </c>
      <c r="R33" s="13">
        <v>1</v>
      </c>
      <c r="S33" s="14">
        <v>1.010992861213684</v>
      </c>
      <c r="T33" s="14">
        <v>1.0167364412262889</v>
      </c>
      <c r="U33" s="14">
        <v>0.4870162001678105</v>
      </c>
      <c r="V33" s="14">
        <v>0.15041082761208549</v>
      </c>
      <c r="W33" s="13">
        <v>1.2494260529000141</v>
      </c>
      <c r="X33" s="13">
        <v>172.80322265625</v>
      </c>
      <c r="Y33" s="13" t="s">
        <v>122</v>
      </c>
      <c r="Z33" s="14"/>
      <c r="AA33" s="14"/>
      <c r="AB33" s="13" t="s">
        <v>229</v>
      </c>
      <c r="AC33" s="13" t="s">
        <v>137</v>
      </c>
      <c r="AD33" s="15">
        <f t="shared" si="0"/>
        <v>0.32315164099005877</v>
      </c>
      <c r="AE33" s="15">
        <f t="shared" si="1"/>
        <v>5.7435800126048875E-3</v>
      </c>
      <c r="AF33" s="15">
        <f>IF(OR(V33="",Seeds!$C$8=""),"",V33-Seeds!$C$8)</f>
        <v>-0.70581528807329252</v>
      </c>
      <c r="AG33" s="15" t="str">
        <f>IF(OR(AF33="",Seeds!$C$10=""),"",IF(ABS(AF33)&gt;Seeds!$C$10,"Có","Không"))</f>
        <v>Có</v>
      </c>
    </row>
    <row r="34" spans="1:33" ht="15" customHeight="1" x14ac:dyDescent="0.35">
      <c r="A34" s="13" t="s">
        <v>230</v>
      </c>
      <c r="B34" s="13" t="s">
        <v>221</v>
      </c>
      <c r="C34" s="13" t="s">
        <v>231</v>
      </c>
      <c r="D34" s="13" t="s">
        <v>116</v>
      </c>
      <c r="E34" s="13" t="s">
        <v>117</v>
      </c>
      <c r="F34" s="13">
        <v>1</v>
      </c>
      <c r="G34" s="13">
        <v>0</v>
      </c>
      <c r="H34" s="13">
        <v>512</v>
      </c>
      <c r="I34" s="13">
        <v>20</v>
      </c>
      <c r="J34" s="13" t="s">
        <v>118</v>
      </c>
      <c r="K34" s="13">
        <v>0</v>
      </c>
      <c r="L34" s="13" t="s">
        <v>119</v>
      </c>
      <c r="M34" s="13" t="s">
        <v>120</v>
      </c>
      <c r="N34" s="13" t="s">
        <v>121</v>
      </c>
      <c r="O34" s="13">
        <v>1</v>
      </c>
      <c r="P34" s="14">
        <v>2.269061790045372</v>
      </c>
      <c r="Q34" s="14">
        <v>0.35819852274111691</v>
      </c>
      <c r="R34" s="13">
        <v>15</v>
      </c>
      <c r="S34" s="14">
        <v>0.39538931172370911</v>
      </c>
      <c r="T34" s="14">
        <v>0.41078546602350358</v>
      </c>
      <c r="U34" s="14">
        <v>0.85781286977474669</v>
      </c>
      <c r="V34" s="14">
        <v>0.76696007658827392</v>
      </c>
      <c r="W34" s="13">
        <v>1.2629400590999691</v>
      </c>
      <c r="X34" s="13">
        <v>172.80322265625</v>
      </c>
      <c r="Y34" s="13" t="s">
        <v>122</v>
      </c>
      <c r="Z34" s="14"/>
      <c r="AA34" s="14"/>
      <c r="AB34" s="13" t="s">
        <v>232</v>
      </c>
      <c r="AC34" s="13" t="s">
        <v>137</v>
      </c>
      <c r="AD34" s="15">
        <f t="shared" ref="AD34:AD61" si="2">IF(P34="","",P34-LN(7))</f>
        <v>0.32315164099005877</v>
      </c>
      <c r="AE34" s="15">
        <f t="shared" ref="AE34:AE61" si="3">IF(OR(T34="",S34=""),"",T34-S34)</f>
        <v>1.5396154299794462E-2</v>
      </c>
      <c r="AF34" s="15">
        <f>IF(OR(V34="",Seeds!$C$8=""),"",V34-Seeds!$C$8)</f>
        <v>-8.9266039097104066E-2</v>
      </c>
      <c r="AG34" s="15" t="str">
        <f>IF(OR(AF34="",Seeds!$C$10=""),"",IF(ABS(AF34)&gt;Seeds!$C$10,"Có","Không"))</f>
        <v>Có</v>
      </c>
    </row>
    <row r="35" spans="1:33" ht="15" customHeight="1" x14ac:dyDescent="0.35">
      <c r="A35" s="13" t="s">
        <v>233</v>
      </c>
      <c r="B35" s="13" t="s">
        <v>221</v>
      </c>
      <c r="C35" s="13" t="s">
        <v>234</v>
      </c>
      <c r="D35" s="13" t="s">
        <v>116</v>
      </c>
      <c r="E35" s="13" t="s">
        <v>117</v>
      </c>
      <c r="F35" s="13">
        <v>3</v>
      </c>
      <c r="G35" s="13">
        <v>0</v>
      </c>
      <c r="H35" s="13">
        <v>512</v>
      </c>
      <c r="I35" s="13">
        <v>20</v>
      </c>
      <c r="J35" s="13" t="s">
        <v>118</v>
      </c>
      <c r="K35" s="13">
        <v>0</v>
      </c>
      <c r="L35" s="13" t="s">
        <v>119</v>
      </c>
      <c r="M35" s="13" t="s">
        <v>120</v>
      </c>
      <c r="N35" s="13" t="s">
        <v>121</v>
      </c>
      <c r="O35" s="13">
        <v>1</v>
      </c>
      <c r="P35" s="14">
        <v>2.269061790045372</v>
      </c>
      <c r="Q35" s="14">
        <v>1.207174849018799</v>
      </c>
      <c r="R35" s="13">
        <v>19</v>
      </c>
      <c r="S35" s="14">
        <v>1.208198332824707</v>
      </c>
      <c r="T35" s="14">
        <v>1.210365437463127</v>
      </c>
      <c r="U35" s="14">
        <v>0.48759708267894408</v>
      </c>
      <c r="V35" s="14">
        <v>9.3649990186254542E-2</v>
      </c>
      <c r="W35" s="13">
        <v>1.2771002858499969</v>
      </c>
      <c r="X35" s="13">
        <v>172.80322265625</v>
      </c>
      <c r="Y35" s="13" t="s">
        <v>122</v>
      </c>
      <c r="Z35" s="14"/>
      <c r="AA35" s="14"/>
      <c r="AB35" s="13" t="s">
        <v>235</v>
      </c>
      <c r="AC35" s="13" t="s">
        <v>137</v>
      </c>
      <c r="AD35" s="15">
        <f t="shared" si="2"/>
        <v>0.32315164099005877</v>
      </c>
      <c r="AE35" s="15">
        <f t="shared" si="3"/>
        <v>2.1671046384199588E-3</v>
      </c>
      <c r="AF35" s="15">
        <f>IF(OR(V35="",Seeds!$C$8=""),"",V35-Seeds!$C$8)</f>
        <v>-0.76257612549912346</v>
      </c>
      <c r="AG35" s="15" t="str">
        <f>IF(OR(AF35="",Seeds!$C$10=""),"",IF(ABS(AF35)&gt;Seeds!$C$10,"Có","Không"))</f>
        <v>Có</v>
      </c>
    </row>
    <row r="36" spans="1:33" ht="15" customHeight="1" x14ac:dyDescent="0.35">
      <c r="A36" s="13" t="s">
        <v>236</v>
      </c>
      <c r="B36" s="13" t="s">
        <v>237</v>
      </c>
      <c r="C36" s="13" t="s">
        <v>238</v>
      </c>
      <c r="D36" s="13" t="s">
        <v>116</v>
      </c>
      <c r="E36" s="13" t="s">
        <v>117</v>
      </c>
      <c r="F36" s="13">
        <v>0.1</v>
      </c>
      <c r="G36" s="13">
        <v>0</v>
      </c>
      <c r="H36" s="13">
        <v>512</v>
      </c>
      <c r="I36" s="13">
        <v>20</v>
      </c>
      <c r="J36" s="13" t="s">
        <v>118</v>
      </c>
      <c r="K36" s="13">
        <v>0</v>
      </c>
      <c r="L36" s="13" t="s">
        <v>119</v>
      </c>
      <c r="M36" s="13" t="s">
        <v>239</v>
      </c>
      <c r="N36" s="13" t="s">
        <v>121</v>
      </c>
      <c r="O36" s="13">
        <v>1</v>
      </c>
      <c r="P36" s="14">
        <v>2.269061790045372</v>
      </c>
      <c r="Q36" s="14">
        <v>0.22802675842907991</v>
      </c>
      <c r="R36" s="13">
        <v>20</v>
      </c>
      <c r="S36" s="14">
        <v>0.2068063567209244</v>
      </c>
      <c r="T36" s="14">
        <v>0.22802675842907991</v>
      </c>
      <c r="U36" s="14">
        <v>0.90930702867838475</v>
      </c>
      <c r="V36" s="14">
        <v>0.85151251851686915</v>
      </c>
      <c r="W36" s="13">
        <v>1.4614836769500019</v>
      </c>
      <c r="X36" s="13">
        <v>172.80126953125</v>
      </c>
      <c r="Y36" s="13" t="s">
        <v>122</v>
      </c>
      <c r="Z36" s="14"/>
      <c r="AA36" s="14"/>
      <c r="AB36" s="13" t="s">
        <v>240</v>
      </c>
      <c r="AC36" s="13" t="s">
        <v>137</v>
      </c>
      <c r="AD36" s="15">
        <f t="shared" si="2"/>
        <v>0.32315164099005877</v>
      </c>
      <c r="AE36" s="15">
        <f t="shared" si="3"/>
        <v>2.1220401708155506E-2</v>
      </c>
      <c r="AF36" s="15">
        <f>IF(OR(V36="",Seeds!$C$8=""),"",V36-Seeds!$C$8)</f>
        <v>-4.7135971685088318E-3</v>
      </c>
      <c r="AG36" s="15" t="str">
        <f>IF(OR(AF36="",Seeds!$C$10=""),"",IF(ABS(AF36)&gt;Seeds!$C$10,"Có","Không"))</f>
        <v>Có</v>
      </c>
    </row>
    <row r="37" spans="1:33" ht="15" customHeight="1" x14ac:dyDescent="0.35">
      <c r="A37" s="13" t="s">
        <v>241</v>
      </c>
      <c r="B37" s="13" t="s">
        <v>237</v>
      </c>
      <c r="C37" s="13" t="s">
        <v>242</v>
      </c>
      <c r="D37" s="13" t="s">
        <v>116</v>
      </c>
      <c r="E37" s="13" t="s">
        <v>117</v>
      </c>
      <c r="F37" s="13">
        <v>0.1</v>
      </c>
      <c r="G37" s="13">
        <v>0</v>
      </c>
      <c r="H37" s="13">
        <v>512</v>
      </c>
      <c r="I37" s="13">
        <v>20</v>
      </c>
      <c r="J37" s="13" t="s">
        <v>118</v>
      </c>
      <c r="K37" s="13">
        <v>0</v>
      </c>
      <c r="L37" s="13" t="s">
        <v>119</v>
      </c>
      <c r="M37" s="13" t="s">
        <v>243</v>
      </c>
      <c r="N37" s="13" t="s">
        <v>121</v>
      </c>
      <c r="O37" s="13">
        <v>1</v>
      </c>
      <c r="P37" s="14">
        <v>2.269061790045372</v>
      </c>
      <c r="Q37" s="14">
        <v>0.23178156330597741</v>
      </c>
      <c r="R37" s="13">
        <v>19</v>
      </c>
      <c r="S37" s="14">
        <v>0.21497889710426329</v>
      </c>
      <c r="T37" s="14">
        <v>0.23593005030434891</v>
      </c>
      <c r="U37" s="14">
        <v>0.90751059572728643</v>
      </c>
      <c r="V37" s="14">
        <v>0.85414966335055886</v>
      </c>
      <c r="W37" s="13">
        <v>1.6952470940999891</v>
      </c>
      <c r="X37" s="13">
        <v>172.80224609375</v>
      </c>
      <c r="Y37" s="13" t="s">
        <v>122</v>
      </c>
      <c r="Z37" s="14"/>
      <c r="AA37" s="14"/>
      <c r="AB37" s="13" t="s">
        <v>244</v>
      </c>
      <c r="AC37" s="13" t="s">
        <v>137</v>
      </c>
      <c r="AD37" s="15">
        <f t="shared" si="2"/>
        <v>0.32315164099005877</v>
      </c>
      <c r="AE37" s="15">
        <f t="shared" si="3"/>
        <v>2.0951153200085615E-2</v>
      </c>
      <c r="AF37" s="15">
        <f>IF(OR(V37="",Seeds!$C$8=""),"",V37-Seeds!$C$8)</f>
        <v>-2.0764523348191233E-3</v>
      </c>
      <c r="AG37" s="15" t="str">
        <f>IF(OR(AF37="",Seeds!$C$10=""),"",IF(ABS(AF37)&gt;Seeds!$C$10,"Có","Không"))</f>
        <v>Không</v>
      </c>
    </row>
    <row r="38" spans="1:33" ht="15" customHeight="1" x14ac:dyDescent="0.35">
      <c r="A38" s="13" t="s">
        <v>245</v>
      </c>
      <c r="B38" s="13" t="s">
        <v>237</v>
      </c>
      <c r="C38" s="13" t="s">
        <v>246</v>
      </c>
      <c r="D38" s="13" t="s">
        <v>116</v>
      </c>
      <c r="E38" s="13" t="s">
        <v>117</v>
      </c>
      <c r="F38" s="13">
        <v>0.1</v>
      </c>
      <c r="G38" s="13">
        <v>0</v>
      </c>
      <c r="H38" s="13">
        <v>512</v>
      </c>
      <c r="I38" s="13">
        <v>20</v>
      </c>
      <c r="J38" s="13" t="s">
        <v>209</v>
      </c>
      <c r="K38" s="13">
        <v>0</v>
      </c>
      <c r="L38" s="13" t="s">
        <v>119</v>
      </c>
      <c r="M38" s="13" t="s">
        <v>243</v>
      </c>
      <c r="N38" s="13" t="s">
        <v>121</v>
      </c>
      <c r="O38" s="13">
        <v>1</v>
      </c>
      <c r="P38" s="14">
        <v>1.918216562458853</v>
      </c>
      <c r="Q38" s="14">
        <v>0.19994916549316211</v>
      </c>
      <c r="R38" s="13">
        <v>19</v>
      </c>
      <c r="S38" s="14">
        <v>0.17772416140556341</v>
      </c>
      <c r="T38" s="14">
        <v>0.20401279931935951</v>
      </c>
      <c r="U38" s="14">
        <v>0.92149480432865039</v>
      </c>
      <c r="V38" s="14">
        <v>0.88214793803795788</v>
      </c>
      <c r="W38" s="13">
        <v>1.686843502050033</v>
      </c>
      <c r="X38" s="13">
        <v>190.10009765625</v>
      </c>
      <c r="Y38" s="13" t="s">
        <v>122</v>
      </c>
      <c r="Z38" s="14"/>
      <c r="AA38" s="14"/>
      <c r="AB38" s="13" t="s">
        <v>247</v>
      </c>
      <c r="AC38" s="13" t="s">
        <v>137</v>
      </c>
      <c r="AD38" s="15">
        <f t="shared" si="2"/>
        <v>-2.7693586596460262E-2</v>
      </c>
      <c r="AE38" s="15">
        <f t="shared" si="3"/>
        <v>2.6288637913796098E-2</v>
      </c>
      <c r="AF38" s="15">
        <f>IF(OR(V38="",Seeds!$C$8=""),"",V38-Seeds!$C$8)</f>
        <v>2.5921822352579893E-2</v>
      </c>
      <c r="AG38" s="15" t="str">
        <f>IF(OR(AF38="",Seeds!$C$10=""),"",IF(ABS(AF38)&gt;Seeds!$C$10,"Có","Không"))</f>
        <v>Có</v>
      </c>
    </row>
    <row r="39" spans="1:33" ht="15" customHeight="1" x14ac:dyDescent="0.35">
      <c r="A39" s="13" t="s">
        <v>248</v>
      </c>
      <c r="B39" s="13" t="s">
        <v>53</v>
      </c>
      <c r="C39" s="13" t="s">
        <v>249</v>
      </c>
      <c r="D39" s="13" t="s">
        <v>116</v>
      </c>
      <c r="E39" s="13" t="s">
        <v>117</v>
      </c>
      <c r="F39" s="13">
        <v>0.1</v>
      </c>
      <c r="G39" s="13">
        <v>0</v>
      </c>
      <c r="H39" s="13">
        <v>512</v>
      </c>
      <c r="I39" s="13">
        <v>20</v>
      </c>
      <c r="J39" s="13" t="s">
        <v>118</v>
      </c>
      <c r="K39" s="13">
        <v>0</v>
      </c>
      <c r="L39" s="13" t="s">
        <v>119</v>
      </c>
      <c r="M39" s="13" t="s">
        <v>120</v>
      </c>
      <c r="N39" s="13" t="s">
        <v>250</v>
      </c>
      <c r="O39" s="13">
        <v>1</v>
      </c>
      <c r="P39" s="14">
        <v>1.98303583909306</v>
      </c>
      <c r="Q39" s="14">
        <v>0.2405875402996358</v>
      </c>
      <c r="R39" s="13">
        <v>20</v>
      </c>
      <c r="S39" s="14">
        <v>0.2203158472204208</v>
      </c>
      <c r="T39" s="14">
        <v>0.2405875402996358</v>
      </c>
      <c r="U39" s="14">
        <v>0.90446634108560486</v>
      </c>
      <c r="V39" s="14">
        <v>0.85104291923737718</v>
      </c>
      <c r="W39" s="13">
        <v>1.2690797257499871</v>
      </c>
      <c r="X39" s="13">
        <v>172.80322265625</v>
      </c>
      <c r="Y39" s="13" t="s">
        <v>122</v>
      </c>
      <c r="Z39" s="14"/>
      <c r="AA39" s="14"/>
      <c r="AB39" s="13" t="s">
        <v>251</v>
      </c>
      <c r="AC39" s="13" t="s">
        <v>252</v>
      </c>
      <c r="AD39" s="15">
        <f t="shared" si="2"/>
        <v>3.7125690037746795E-2</v>
      </c>
      <c r="AE39" s="15">
        <f t="shared" si="3"/>
        <v>2.0271693079215003E-2</v>
      </c>
      <c r="AF39" s="15">
        <f>IF(OR(V39="",Seeds!$C$8=""),"",V39-Seeds!$C$8)</f>
        <v>-5.1831964480008041E-3</v>
      </c>
      <c r="AG39" s="15" t="str">
        <f>IF(OR(AF39="",Seeds!$C$10=""),"",IF(ABS(AF39)&gt;Seeds!$C$10,"Có","Không"))</f>
        <v>Có</v>
      </c>
    </row>
    <row r="40" spans="1:33" ht="15" customHeight="1" x14ac:dyDescent="0.35">
      <c r="A40" s="13" t="s">
        <v>253</v>
      </c>
      <c r="B40" s="13" t="s">
        <v>53</v>
      </c>
      <c r="C40" s="13" t="s">
        <v>254</v>
      </c>
      <c r="D40" s="13" t="s">
        <v>116</v>
      </c>
      <c r="E40" s="13" t="s">
        <v>117</v>
      </c>
      <c r="F40" s="13">
        <v>0.1</v>
      </c>
      <c r="G40" s="13">
        <v>0</v>
      </c>
      <c r="H40" s="13">
        <v>512</v>
      </c>
      <c r="I40" s="13">
        <v>20</v>
      </c>
      <c r="J40" s="13" t="s">
        <v>118</v>
      </c>
      <c r="K40" s="13">
        <v>0</v>
      </c>
      <c r="L40" s="13" t="s">
        <v>119</v>
      </c>
      <c r="M40" s="13" t="s">
        <v>120</v>
      </c>
      <c r="N40" s="13" t="s">
        <v>255</v>
      </c>
      <c r="O40" s="13">
        <v>1</v>
      </c>
      <c r="P40" s="14">
        <v>1.9459956574185071</v>
      </c>
      <c r="Q40" s="14">
        <v>0.23998713431281701</v>
      </c>
      <c r="R40" s="13">
        <v>19</v>
      </c>
      <c r="S40" s="14">
        <v>0.24150160348415381</v>
      </c>
      <c r="T40" s="14">
        <v>0.25804314179320043</v>
      </c>
      <c r="U40" s="14">
        <v>0.90275596480282261</v>
      </c>
      <c r="V40" s="14">
        <v>0.84852326164014735</v>
      </c>
      <c r="W40" s="13">
        <v>1.2273464191499901</v>
      </c>
      <c r="X40" s="13">
        <v>172.80322265625</v>
      </c>
      <c r="Y40" s="13" t="s">
        <v>122</v>
      </c>
      <c r="Z40" s="14"/>
      <c r="AA40" s="14"/>
      <c r="AB40" s="13" t="s">
        <v>256</v>
      </c>
      <c r="AC40" s="13" t="s">
        <v>257</v>
      </c>
      <c r="AD40" s="15">
        <f t="shared" si="2"/>
        <v>8.550836319387578E-5</v>
      </c>
      <c r="AE40" s="15">
        <f t="shared" si="3"/>
        <v>1.6541538309046616E-2</v>
      </c>
      <c r="AF40" s="15">
        <f>IF(OR(V40="",Seeds!$C$8=""),"",V40-Seeds!$C$8)</f>
        <v>-7.7028540452306338E-3</v>
      </c>
      <c r="AG40" s="15" t="str">
        <f>IF(OR(AF40="",Seeds!$C$10=""),"",IF(ABS(AF40)&gt;Seeds!$C$10,"Có","Không"))</f>
        <v>Có</v>
      </c>
    </row>
    <row r="41" spans="1:33" ht="15" customHeight="1" x14ac:dyDescent="0.35">
      <c r="A41" s="13" t="s">
        <v>258</v>
      </c>
      <c r="B41" s="13" t="s">
        <v>53</v>
      </c>
      <c r="C41" s="13" t="s">
        <v>259</v>
      </c>
      <c r="D41" s="13" t="s">
        <v>116</v>
      </c>
      <c r="E41" s="13" t="s">
        <v>117</v>
      </c>
      <c r="F41" s="13">
        <v>0.1</v>
      </c>
      <c r="G41" s="13">
        <v>0</v>
      </c>
      <c r="H41" s="13">
        <v>512</v>
      </c>
      <c r="I41" s="13">
        <v>20</v>
      </c>
      <c r="J41" s="13" t="s">
        <v>118</v>
      </c>
      <c r="K41" s="13">
        <v>0</v>
      </c>
      <c r="L41" s="13" t="s">
        <v>119</v>
      </c>
      <c r="M41" s="13" t="s">
        <v>120</v>
      </c>
      <c r="N41" s="13" t="s">
        <v>260</v>
      </c>
      <c r="O41" s="13">
        <v>1</v>
      </c>
      <c r="P41" s="14">
        <v>2.0221761869652251</v>
      </c>
      <c r="Q41" s="14">
        <v>0.2300258842055557</v>
      </c>
      <c r="R41" s="13">
        <v>18</v>
      </c>
      <c r="S41" s="14">
        <v>0.21383989511966711</v>
      </c>
      <c r="T41" s="14">
        <v>0.23449013946283651</v>
      </c>
      <c r="U41" s="14">
        <v>0.90938232826316134</v>
      </c>
      <c r="V41" s="14">
        <v>0.85853182971469111</v>
      </c>
      <c r="W41" s="13">
        <v>1.2192079581499911</v>
      </c>
      <c r="X41" s="13">
        <v>172.80322265625</v>
      </c>
      <c r="Y41" s="13" t="s">
        <v>122</v>
      </c>
      <c r="Z41" s="14"/>
      <c r="AA41" s="14"/>
      <c r="AB41" s="13" t="s">
        <v>261</v>
      </c>
      <c r="AC41" s="13" t="s">
        <v>262</v>
      </c>
      <c r="AD41" s="15">
        <f t="shared" si="2"/>
        <v>7.6266037909911821E-2</v>
      </c>
      <c r="AE41" s="15">
        <f t="shared" si="3"/>
        <v>2.0650244343169394E-2</v>
      </c>
      <c r="AF41" s="15">
        <f>IF(OR(V41="",Seeds!$C$8=""),"",V41-Seeds!$C$8)</f>
        <v>2.3057140293131217E-3</v>
      </c>
      <c r="AG41" s="15" t="str">
        <f>IF(OR(AF41="",Seeds!$C$10=""),"",IF(ABS(AF41)&gt;Seeds!$C$10,"Có","Không"))</f>
        <v>Không</v>
      </c>
    </row>
    <row r="42" spans="1:33" ht="15" customHeight="1" x14ac:dyDescent="0.35">
      <c r="A42" s="13" t="s">
        <v>263</v>
      </c>
      <c r="B42" s="13" t="s">
        <v>53</v>
      </c>
      <c r="C42" s="13" t="s">
        <v>264</v>
      </c>
      <c r="D42" s="13" t="s">
        <v>116</v>
      </c>
      <c r="E42" s="13" t="s">
        <v>117</v>
      </c>
      <c r="F42" s="13">
        <v>0.1</v>
      </c>
      <c r="G42" s="13">
        <v>0</v>
      </c>
      <c r="H42" s="13">
        <v>512</v>
      </c>
      <c r="I42" s="13">
        <v>20</v>
      </c>
      <c r="J42" s="13" t="s">
        <v>118</v>
      </c>
      <c r="K42" s="13">
        <v>0</v>
      </c>
      <c r="L42" s="13" t="s">
        <v>119</v>
      </c>
      <c r="M42" s="13" t="s">
        <v>120</v>
      </c>
      <c r="N42" s="13" t="s">
        <v>265</v>
      </c>
      <c r="O42" s="13">
        <v>1</v>
      </c>
      <c r="P42" s="14">
        <v>1.945909991577953</v>
      </c>
      <c r="Q42" s="14">
        <v>1.2051995139337339</v>
      </c>
      <c r="R42" s="13">
        <v>14</v>
      </c>
      <c r="S42" s="14">
        <v>1.2036268243026731</v>
      </c>
      <c r="T42" s="14">
        <v>1.2056187660419551</v>
      </c>
      <c r="U42" s="14">
        <v>0.48759708267894408</v>
      </c>
      <c r="V42" s="14">
        <v>9.3649990186254542E-2</v>
      </c>
      <c r="W42" s="13">
        <v>1.2505297300999809</v>
      </c>
      <c r="X42" s="13">
        <v>172.80322265625</v>
      </c>
      <c r="Y42" s="13" t="s">
        <v>122</v>
      </c>
      <c r="Z42" s="14"/>
      <c r="AA42" s="14"/>
      <c r="AB42" s="13" t="s">
        <v>266</v>
      </c>
      <c r="AC42" s="13" t="s">
        <v>267</v>
      </c>
      <c r="AD42" s="15">
        <f t="shared" si="2"/>
        <v>-1.5747736026305859E-7</v>
      </c>
      <c r="AE42" s="15">
        <f t="shared" si="3"/>
        <v>1.9919417392819661E-3</v>
      </c>
      <c r="AF42" s="15">
        <f>IF(OR(V42="",Seeds!$C$8=""),"",V42-Seeds!$C$8)</f>
        <v>-0.76257612549912346</v>
      </c>
      <c r="AG42" s="15" t="str">
        <f>IF(OR(AF42="",Seeds!$C$10=""),"",IF(ABS(AF42)&gt;Seeds!$C$10,"Có","Không"))</f>
        <v>Có</v>
      </c>
    </row>
    <row r="43" spans="1:33" ht="15" customHeight="1" x14ac:dyDescent="0.35">
      <c r="A43" s="13" t="s">
        <v>268</v>
      </c>
      <c r="B43" s="13" t="s">
        <v>269</v>
      </c>
      <c r="C43" s="13" t="s">
        <v>270</v>
      </c>
      <c r="D43" s="13" t="s">
        <v>116</v>
      </c>
      <c r="E43" s="13" t="s">
        <v>153</v>
      </c>
      <c r="F43" s="13">
        <v>3.0000000000000001E-3</v>
      </c>
      <c r="G43" s="13">
        <v>0.01</v>
      </c>
      <c r="H43" s="13">
        <v>512</v>
      </c>
      <c r="I43" s="13">
        <v>40</v>
      </c>
      <c r="J43" s="13" t="s">
        <v>209</v>
      </c>
      <c r="K43" s="13">
        <v>0</v>
      </c>
      <c r="L43" s="13" t="s">
        <v>119</v>
      </c>
      <c r="M43" s="13" t="s">
        <v>120</v>
      </c>
      <c r="N43" s="13" t="s">
        <v>121</v>
      </c>
      <c r="O43" s="13">
        <v>1</v>
      </c>
      <c r="P43" s="14">
        <v>1.918216562458853</v>
      </c>
      <c r="Q43" s="14">
        <v>0.16424484929725361</v>
      </c>
      <c r="R43" s="13">
        <v>32</v>
      </c>
      <c r="S43" s="14">
        <v>0.13556804862022401</v>
      </c>
      <c r="T43" s="14">
        <v>0.1727544285320291</v>
      </c>
      <c r="U43" s="14">
        <v>0.93448936124437942</v>
      </c>
      <c r="V43" s="14">
        <v>0.90181952688987799</v>
      </c>
      <c r="W43" s="13">
        <v>1.455169315375014</v>
      </c>
      <c r="X43" s="13">
        <v>202.0322265625</v>
      </c>
      <c r="Y43" s="13" t="s">
        <v>122</v>
      </c>
      <c r="Z43" s="14"/>
      <c r="AA43" s="14"/>
      <c r="AB43" s="13" t="s">
        <v>271</v>
      </c>
      <c r="AC43" s="13" t="s">
        <v>144</v>
      </c>
      <c r="AD43" s="15">
        <f t="shared" si="2"/>
        <v>-2.7693586596460262E-2</v>
      </c>
      <c r="AE43" s="15">
        <f t="shared" si="3"/>
        <v>3.7186379911805095E-2</v>
      </c>
      <c r="AF43" s="15">
        <f>IF(OR(V43="",Seeds!$C$8=""),"",V43-Seeds!$C$8)</f>
        <v>4.5593411204500001E-2</v>
      </c>
      <c r="AG43" s="15" t="str">
        <f>IF(OR(AF43="",Seeds!$C$10=""),"",IF(ABS(AF43)&gt;Seeds!$C$10,"Có","Không"))</f>
        <v>Có</v>
      </c>
    </row>
    <row r="44" spans="1:33" ht="15" customHeight="1" x14ac:dyDescent="0.35">
      <c r="A44" s="13" t="s">
        <v>272</v>
      </c>
      <c r="B44" s="13" t="s">
        <v>269</v>
      </c>
      <c r="C44" s="13" t="s">
        <v>273</v>
      </c>
      <c r="D44" s="13" t="s">
        <v>116</v>
      </c>
      <c r="E44" s="13" t="s">
        <v>153</v>
      </c>
      <c r="F44" s="13">
        <v>3.0000000000000001E-3</v>
      </c>
      <c r="G44" s="13">
        <v>0.01</v>
      </c>
      <c r="H44" s="13">
        <v>512</v>
      </c>
      <c r="I44" s="13">
        <v>40</v>
      </c>
      <c r="J44" s="13" t="s">
        <v>209</v>
      </c>
      <c r="K44" s="13">
        <v>0</v>
      </c>
      <c r="L44" s="13" t="s">
        <v>119</v>
      </c>
      <c r="M44" s="13" t="s">
        <v>120</v>
      </c>
      <c r="N44" s="13" t="s">
        <v>121</v>
      </c>
      <c r="O44" s="13">
        <v>1</v>
      </c>
      <c r="P44" s="14">
        <v>1.918216562458853</v>
      </c>
      <c r="Q44" s="14">
        <v>0.1211959893742547</v>
      </c>
      <c r="R44" s="13">
        <v>39</v>
      </c>
      <c r="S44" s="14">
        <v>7.5532248530387883E-2</v>
      </c>
      <c r="T44" s="14">
        <v>0.12120759101294699</v>
      </c>
      <c r="U44" s="14">
        <v>0.95359394161055056</v>
      </c>
      <c r="V44" s="14">
        <v>0.92769030336710478</v>
      </c>
      <c r="W44" s="13">
        <v>1.4519740597500059</v>
      </c>
      <c r="X44" s="13">
        <v>202.0322265625</v>
      </c>
      <c r="Y44" s="13" t="s">
        <v>122</v>
      </c>
      <c r="Z44" s="14">
        <v>0.95297023312651141</v>
      </c>
      <c r="AA44" s="14">
        <v>0.93139276989883502</v>
      </c>
      <c r="AB44" s="13" t="s">
        <v>274</v>
      </c>
      <c r="AC44" s="13" t="s">
        <v>275</v>
      </c>
      <c r="AD44" s="15">
        <f t="shared" si="2"/>
        <v>-2.7693586596460262E-2</v>
      </c>
      <c r="AE44" s="15">
        <f t="shared" si="3"/>
        <v>4.5675342482559111E-2</v>
      </c>
      <c r="AF44" s="15">
        <f>IF(OR(V44="",Seeds!$C$8=""),"",V44-Seeds!$C$8)</f>
        <v>7.1464187681726798E-2</v>
      </c>
      <c r="AG44" s="15" t="str">
        <f>IF(OR(AF44="",Seeds!$C$10=""),"",IF(ABS(AF44)&gt;Seeds!$C$10,"Có","Không"))</f>
        <v>Có</v>
      </c>
    </row>
    <row r="45" spans="1:33" ht="15" customHeight="1" x14ac:dyDescent="0.35">
      <c r="A45" s="13" t="s">
        <v>276</v>
      </c>
      <c r="B45" s="13" t="s">
        <v>269</v>
      </c>
      <c r="C45" s="13" t="s">
        <v>277</v>
      </c>
      <c r="D45" s="13" t="s">
        <v>116</v>
      </c>
      <c r="E45" s="13" t="s">
        <v>153</v>
      </c>
      <c r="F45" s="13">
        <v>3.0000000000000001E-3</v>
      </c>
      <c r="G45" s="13">
        <v>0.01</v>
      </c>
      <c r="H45" s="13">
        <v>512</v>
      </c>
      <c r="I45" s="13">
        <v>40</v>
      </c>
      <c r="J45" s="13" t="s">
        <v>209</v>
      </c>
      <c r="K45" s="13">
        <v>0</v>
      </c>
      <c r="L45" s="13" t="s">
        <v>119</v>
      </c>
      <c r="M45" s="13" t="s">
        <v>120</v>
      </c>
      <c r="N45" s="13" t="s">
        <v>121</v>
      </c>
      <c r="O45" s="13">
        <v>2</v>
      </c>
      <c r="P45" s="14">
        <v>2.6519771339237761</v>
      </c>
      <c r="Q45" s="14">
        <v>0.1264368847824564</v>
      </c>
      <c r="R45" s="13">
        <v>40</v>
      </c>
      <c r="S45" s="14">
        <v>8.1753945357799535E-2</v>
      </c>
      <c r="T45" s="14">
        <v>0.1264368847824564</v>
      </c>
      <c r="U45" s="14">
        <v>0.95157160990512257</v>
      </c>
      <c r="V45" s="14">
        <v>0.92149963817452818</v>
      </c>
      <c r="W45" s="13">
        <v>1.4422043612750031</v>
      </c>
      <c r="X45" s="13">
        <v>202.0322265625</v>
      </c>
      <c r="Y45" s="13" t="s">
        <v>122</v>
      </c>
      <c r="Z45" s="14"/>
      <c r="AA45" s="14"/>
      <c r="AB45" s="13" t="s">
        <v>278</v>
      </c>
      <c r="AC45" s="13" t="s">
        <v>279</v>
      </c>
      <c r="AD45" s="15">
        <f t="shared" si="2"/>
        <v>0.70606698486846287</v>
      </c>
      <c r="AE45" s="15">
        <f t="shared" si="3"/>
        <v>4.468293942465687E-2</v>
      </c>
      <c r="AF45" s="15">
        <f>IF(OR(V45="",Seeds!$C$8=""),"",V45-Seeds!$C$8)</f>
        <v>6.5273522489150193E-2</v>
      </c>
      <c r="AG45" s="15" t="str">
        <f>IF(OR(AF45="",Seeds!$C$10=""),"",IF(ABS(AF45)&gt;Seeds!$C$10,"Có","Không"))</f>
        <v>Có</v>
      </c>
    </row>
    <row r="46" spans="1:33" ht="15" customHeight="1" x14ac:dyDescent="0.35">
      <c r="A46" s="13" t="s">
        <v>280</v>
      </c>
      <c r="B46" s="13" t="s">
        <v>269</v>
      </c>
      <c r="C46" s="13" t="s">
        <v>281</v>
      </c>
      <c r="D46" s="13" t="s">
        <v>116</v>
      </c>
      <c r="E46" s="13" t="s">
        <v>153</v>
      </c>
      <c r="F46" s="13">
        <v>3.0000000000000001E-3</v>
      </c>
      <c r="G46" s="13">
        <v>0.01</v>
      </c>
      <c r="H46" s="13">
        <v>512</v>
      </c>
      <c r="I46" s="13">
        <v>40</v>
      </c>
      <c r="J46" s="13" t="s">
        <v>209</v>
      </c>
      <c r="K46" s="13">
        <v>0</v>
      </c>
      <c r="L46" s="13" t="s">
        <v>119</v>
      </c>
      <c r="M46" s="13" t="s">
        <v>120</v>
      </c>
      <c r="N46" s="13" t="s">
        <v>121</v>
      </c>
      <c r="O46" s="13">
        <v>3</v>
      </c>
      <c r="P46" s="14">
        <v>2.7881746310528719</v>
      </c>
      <c r="Q46" s="14">
        <v>0.124319561410734</v>
      </c>
      <c r="R46" s="13">
        <v>39</v>
      </c>
      <c r="S46" s="14">
        <v>7.8301325724124904E-2</v>
      </c>
      <c r="T46" s="14">
        <v>0.1243262820046637</v>
      </c>
      <c r="U46" s="14">
        <v>0.95257201867429697</v>
      </c>
      <c r="V46" s="14">
        <v>0.92645119025062284</v>
      </c>
      <c r="W46" s="13">
        <v>1.4251539398499971</v>
      </c>
      <c r="X46" s="13">
        <v>202.0322265625</v>
      </c>
      <c r="Y46" s="13" t="s">
        <v>122</v>
      </c>
      <c r="Z46" s="14"/>
      <c r="AA46" s="14"/>
      <c r="AB46" s="13" t="s">
        <v>282</v>
      </c>
      <c r="AC46" s="13" t="s">
        <v>279</v>
      </c>
      <c r="AD46" s="15">
        <f t="shared" si="2"/>
        <v>0.84226448199755866</v>
      </c>
      <c r="AE46" s="15">
        <f t="shared" si="3"/>
        <v>4.6024956280538792E-2</v>
      </c>
      <c r="AF46" s="15">
        <f>IF(OR(V46="",Seeds!$C$8=""),"",V46-Seeds!$C$8)</f>
        <v>7.0225074565244849E-2</v>
      </c>
      <c r="AG46" s="15" t="str">
        <f>IF(OR(AF46="",Seeds!$C$10=""),"",IF(ABS(AF46)&gt;Seeds!$C$10,"Có","Không"))</f>
        <v>Có</v>
      </c>
    </row>
    <row r="47" spans="1:33" ht="15" customHeight="1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t="shared" si="2"/>
        <v/>
      </c>
      <c r="AE47" s="15" t="str">
        <f t="shared" si="3"/>
        <v/>
      </c>
      <c r="AF47" s="15" t="str">
        <f>IF(OR(V47="",Seeds!$C$8=""),"",V47-Seeds!$C$8)</f>
        <v/>
      </c>
      <c r="AG47" s="15" t="str">
        <f>IF(OR(AF47="",Seeds!$C$10=""),"",IF(ABS(AF47)&gt;Seeds!$C$10,"Có","Không"))</f>
        <v/>
      </c>
    </row>
    <row r="48" spans="1:33" ht="15" customHeight="1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t="shared" si="2"/>
        <v/>
      </c>
      <c r="AE48" s="15" t="str">
        <f t="shared" si="3"/>
        <v/>
      </c>
      <c r="AF48" s="15" t="str">
        <f>IF(OR(V48="",Seeds!$C$8=""),"",V48-Seeds!$C$8)</f>
        <v/>
      </c>
      <c r="AG48" s="15" t="str">
        <f>IF(OR(AF48="",Seeds!$C$10=""),"",IF(ABS(AF48)&gt;Seeds!$C$10,"Có","Không"))</f>
        <v/>
      </c>
    </row>
    <row r="49" spans="1:33" ht="15" customHeight="1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ht="15" customHeight="1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ht="15" customHeight="1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ht="15" customHeight="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ht="15" customHeight="1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ht="15" customHeight="1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ht="15" customHeight="1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ht="15" customHeight="1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ht="15" customHeight="1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ht="15" customHeight="1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ht="15" customHeight="1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ht="15" customHeight="1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ht="15" customHeight="1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</sheetData>
  <autoFilter ref="A1:AG61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6328125" defaultRowHeight="14.5" x14ac:dyDescent="0.35"/>
  <cols>
    <col min="1" max="1" width="26" customWidth="1"/>
    <col min="2" max="4" width="16" customWidth="1"/>
  </cols>
  <sheetData>
    <row r="1" spans="1:4" ht="30" customHeight="1" x14ac:dyDescent="0.35">
      <c r="A1" s="7" t="s">
        <v>283</v>
      </c>
      <c r="B1" s="7" t="s">
        <v>70</v>
      </c>
      <c r="C1" s="7" t="s">
        <v>73</v>
      </c>
      <c r="D1" s="7" t="s">
        <v>61</v>
      </c>
    </row>
    <row r="2" spans="1:4" ht="15" customHeight="1" x14ac:dyDescent="0.35">
      <c r="A2" s="12" t="s">
        <v>113</v>
      </c>
      <c r="B2" s="15">
        <f>IF($A2="","",IFERROR(IF(INDEX(Experiments!$U$2:$U$61,MATCH($A2,Experiments!$A$2:$A$61,0))="","",INDEX(Experiments!$U$2:$U$61,MATCH($A2,Experiments!$A$2:$A$61,0))),""))</f>
        <v>0.90845721907876331</v>
      </c>
      <c r="C2" s="15">
        <f>IF($A2="","",IFERROR(IF(INDEX(Experiments!$V$2:$V$61,MATCH($A2,Experiments!$A$2:$A$61,0))="","",INDEX(Experiments!$V$2:$V$61,MATCH($A2,Experiments!$A$2:$A$61,0))),""))</f>
        <v>0.85837155128100273</v>
      </c>
      <c r="D2" s="15">
        <f>IF($A2="","",IFERROR(IF(INDEX(Experiments!$Q$2:$Q$61,MATCH($A2,Experiments!$A$2:$A$61,0))="","",INDEX(Experiments!$Q$2:$Q$61,MATCH($A2,Experiments!$A$2:$A$61,0))),""))</f>
        <v>0.23143395283967449</v>
      </c>
    </row>
    <row r="3" spans="1:4" ht="15" customHeight="1" x14ac:dyDescent="0.35">
      <c r="A3" s="12" t="s">
        <v>125</v>
      </c>
      <c r="B3" s="15">
        <f>IF($A3="","",IFERROR(IF(INDEX(Experiments!$U$2:$U$61,MATCH($A3,Experiments!$A$2:$A$61,0))="","",INDEX(Experiments!$U$2:$U$61,MATCH($A3,Experiments!$A$2:$A$61,0))),""))</f>
        <v>0.90975882618704418</v>
      </c>
      <c r="C3" s="15">
        <f>IF($A3="","",IFERROR(IF(INDEX(Experiments!$V$2:$V$61,MATCH($A3,Experiments!$A$2:$A$61,0))="","",INDEX(Experiments!$V$2:$V$61,MATCH($A3,Experiments!$A$2:$A$61,0))),""))</f>
        <v>0.85520702584103414</v>
      </c>
      <c r="D3" s="15">
        <f>IF($A3="","",IFERROR(IF(INDEX(Experiments!$Q$2:$Q$61,MATCH($A3,Experiments!$A$2:$A$61,0))="","",INDEX(Experiments!$Q$2:$Q$61,MATCH($A3,Experiments!$A$2:$A$61,0))),""))</f>
        <v>0.2261094462700102</v>
      </c>
    </row>
    <row r="4" spans="1:4" ht="15" customHeight="1" x14ac:dyDescent="0.35">
      <c r="A4" s="12" t="s">
        <v>129</v>
      </c>
      <c r="B4" s="15">
        <f>IF($A4="","",IFERROR(IF(INDEX(Experiments!$U$2:$U$61,MATCH($A4,Experiments!$A$2:$A$61,0))="","",INDEX(Experiments!$U$2:$U$61,MATCH($A4,Experiments!$A$2:$A$61,0))),""))</f>
        <v>0.90903810158989695</v>
      </c>
      <c r="C4" s="15">
        <f>IF($A4="","",IFERROR(IF(INDEX(Experiments!$V$2:$V$61,MATCH($A4,Experiments!$A$2:$A$61,0))="","",INDEX(Experiments!$V$2:$V$61,MATCH($A4,Experiments!$A$2:$A$61,0))),""))</f>
        <v>0.85509976993409698</v>
      </c>
      <c r="D4" s="15">
        <f>IF($A4="","",IFERROR(IF(INDEX(Experiments!$Q$2:$Q$61,MATCH($A4,Experiments!$A$2:$A$61,0))="","",INDEX(Experiments!$Q$2:$Q$61,MATCH($A4,Experiments!$A$2:$A$61,0))),""))</f>
        <v>0.22752355522819989</v>
      </c>
    </row>
    <row r="5" spans="1:4" ht="15" customHeight="1" x14ac:dyDescent="0.35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35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35">
      <c r="A8" s="16" t="s">
        <v>284</v>
      </c>
      <c r="B8" s="15">
        <f>IF(COUNT(B2:B6)=0,"",AVERAGE(B2:B6))</f>
        <v>0.9090847156185683</v>
      </c>
      <c r="C8" s="15">
        <f>IF(COUNT(C2:C6)=0,"",AVERAGE(C2:C6))</f>
        <v>0.85622611568537799</v>
      </c>
      <c r="D8" s="15">
        <f>IF(COUNT(D2:D6)=0,"",AVERAGE(D2:D6))</f>
        <v>0.22835565144596151</v>
      </c>
    </row>
    <row r="9" spans="1:4" ht="15" customHeight="1" x14ac:dyDescent="0.35">
      <c r="A9" s="16" t="s">
        <v>285</v>
      </c>
      <c r="B9" s="15">
        <f>IF(COUNT(B2:B6)&lt;2,"",STDEV(B2:B6))</f>
        <v>6.5205438180686987E-4</v>
      </c>
      <c r="C9" s="15">
        <f>IF(COUNT(C2:C6)&lt;2,"",STDEV(C2:C6))</f>
        <v>1.8587755051709784E-3</v>
      </c>
      <c r="D9" s="15">
        <f>IF(COUNT(D2:D6)&lt;2,"",STDEV(D2:D6))</f>
        <v>2.758057403193319E-3</v>
      </c>
    </row>
    <row r="10" spans="1:4" ht="15" customHeight="1" x14ac:dyDescent="0.35">
      <c r="A10" s="16" t="s">
        <v>286</v>
      </c>
      <c r="B10" s="15">
        <f>IF(B9="","",2*B9)</f>
        <v>1.3041087636137397E-3</v>
      </c>
      <c r="C10" s="15">
        <f>IF(C9="","",2*C9)</f>
        <v>3.7175510103419568E-3</v>
      </c>
      <c r="D10" s="15">
        <f>IF(D9="","",2*D9)</f>
        <v>5.5161148063866379E-3</v>
      </c>
    </row>
    <row r="12" spans="1:4" ht="15" customHeight="1" x14ac:dyDescent="0.35">
      <c r="A12" s="2" t="s">
        <v>287</v>
      </c>
    </row>
    <row r="13" spans="1:4" ht="15" customHeight="1" x14ac:dyDescent="0.35">
      <c r="A13" s="2" t="s">
        <v>288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31.5" customHeight="1" x14ac:dyDescent="0.35">
      <c r="A1" s="7" t="s">
        <v>21</v>
      </c>
      <c r="B1" s="7" t="s">
        <v>289</v>
      </c>
      <c r="C1" s="7" t="s">
        <v>290</v>
      </c>
      <c r="D1" s="7" t="s">
        <v>291</v>
      </c>
      <c r="E1" s="7" t="s">
        <v>292</v>
      </c>
      <c r="F1" s="7" t="s">
        <v>293</v>
      </c>
      <c r="G1" s="7" t="s">
        <v>294</v>
      </c>
      <c r="H1" s="7" t="s">
        <v>295</v>
      </c>
    </row>
    <row r="2" spans="1:8" ht="15" customHeight="1" x14ac:dyDescent="0.35">
      <c r="A2" s="11" t="s">
        <v>114</v>
      </c>
      <c r="B2" s="17">
        <f>COUNTIF(Experiments!$B$2:$B$61,A2)</f>
        <v>3</v>
      </c>
      <c r="C2" s="17">
        <f>COUNTIFS(Experiments!$B$2:$B$61,A2,Experiments!$V$2:$V$61,"&lt;&gt;")</f>
        <v>3</v>
      </c>
      <c r="D2" s="15">
        <f>IF(C2=0,"",_xlfn.MAXIFS(Experiments!$V$2:$V$61,Experiments!$B$2:$B$61,A2))</f>
        <v>0.85837155128100273</v>
      </c>
      <c r="E2" s="15">
        <f>IF(C2=0,"",_xlfn.MINIFS(Experiments!$V$2:$V$61,Experiments!$B$2:$B$61,A2))</f>
        <v>0.85509976993409698</v>
      </c>
      <c r="F2" s="15">
        <f>IF(C2=0,"",_xlfn.MAXIFS(Experiments!$U$2:$U$61,Experiments!$B$2:$B$61,A2))</f>
        <v>0.90975882618704418</v>
      </c>
      <c r="G2" s="17" t="s">
        <v>296</v>
      </c>
      <c r="H2" s="18" t="s">
        <v>297</v>
      </c>
    </row>
    <row r="3" spans="1:8" ht="15" customHeight="1" x14ac:dyDescent="0.35">
      <c r="A3" s="11" t="s">
        <v>27</v>
      </c>
      <c r="B3" s="17">
        <f>COUNTIF(Experiments!$B$2:$B$61,A3)</f>
        <v>2</v>
      </c>
      <c r="C3" s="17">
        <f>COUNTIFS(Experiments!$B$2:$B$61,A3,Experiments!$V$2:$V$61,"&lt;&gt;")</f>
        <v>2</v>
      </c>
      <c r="D3" s="15">
        <f>IF(C3=0,"",_xlfn.MAXIFS(Experiments!$V$2:$V$61,Experiments!$B$2:$B$61,A3))</f>
        <v>0.78869545038837641</v>
      </c>
      <c r="E3" s="15">
        <f>IF(C3=0,"",_xlfn.MINIFS(Experiments!$V$2:$V$61,Experiments!$B$2:$B$61,A3))</f>
        <v>0.73294572833934635</v>
      </c>
      <c r="F3" s="15">
        <f>IF(C3=0,"",_xlfn.MAXIFS(Experiments!$U$2:$U$61,Experiments!$B$2:$B$61,A3))</f>
        <v>0.88307050192551795</v>
      </c>
      <c r="G3" s="17" t="str">
        <f t="shared" ref="G3:G9" si="0">IF(C3&gt;0,"Có","Chưa")</f>
        <v>Có</v>
      </c>
      <c r="H3" s="18" t="s">
        <v>298</v>
      </c>
    </row>
    <row r="4" spans="1:8" ht="15" customHeight="1" x14ac:dyDescent="0.35">
      <c r="A4" s="11" t="s">
        <v>29</v>
      </c>
      <c r="B4" s="17">
        <f>COUNTIF(Experiments!$B$2:$B$61,A4)</f>
        <v>14</v>
      </c>
      <c r="C4" s="17">
        <f>COUNTIFS(Experiments!$B$2:$B$61,A4,Experiments!$V$2:$V$61,"&lt;&gt;")</f>
        <v>14</v>
      </c>
      <c r="D4" s="15">
        <f>IF(C4=0,"",_xlfn.MAXIFS(Experiments!$V$2:$V$61,Experiments!$B$2:$B$61,A4))</f>
        <v>0.87572804299055762</v>
      </c>
      <c r="E4" s="15">
        <f>IF(C4=0,"",_xlfn.MINIFS(Experiments!$V$2:$V$61,Experiments!$B$2:$B$61,A4))</f>
        <v>0.66422098284509867</v>
      </c>
      <c r="F4" s="15">
        <f>IF(C4=0,"",_xlfn.MAXIFS(Experiments!$U$2:$U$61,Experiments!$B$2:$B$61,A4))</f>
        <v>0.91776209634044015</v>
      </c>
      <c r="G4" s="17" t="str">
        <f t="shared" si="0"/>
        <v>Có</v>
      </c>
      <c r="H4" s="18" t="s">
        <v>299</v>
      </c>
    </row>
    <row r="5" spans="1:8" ht="15" customHeight="1" x14ac:dyDescent="0.35">
      <c r="A5" s="11" t="s">
        <v>188</v>
      </c>
      <c r="B5" s="17">
        <f>COUNTIF(Experiments!$B$2:$B$61,A5)</f>
        <v>7</v>
      </c>
      <c r="C5" s="17">
        <f>COUNTIFS(Experiments!$B$2:$B$61,A5,Experiments!$V$2:$V$61,"&lt;&gt;")</f>
        <v>7</v>
      </c>
      <c r="D5" s="15">
        <f>IF(C5=0,"",_xlfn.MAXIFS(Experiments!$V$2:$V$61,Experiments!$B$2:$B$61,A5))</f>
        <v>0.8742958875384107</v>
      </c>
      <c r="E5" s="15">
        <f>IF(C5=0,"",_xlfn.MINIFS(Experiments!$V$2:$V$61,Experiments!$B$2:$B$61,A5))</f>
        <v>0.80900191652021458</v>
      </c>
      <c r="F5" s="15">
        <f>IF(C5=0,"",_xlfn.MAXIFS(Experiments!$U$2:$U$61,Experiments!$B$2:$B$61,A5))</f>
        <v>0.92266732643445704</v>
      </c>
      <c r="G5" s="17" t="str">
        <f t="shared" si="0"/>
        <v>Có</v>
      </c>
      <c r="H5" s="18" t="s">
        <v>300</v>
      </c>
    </row>
    <row r="6" spans="1:8" ht="15" customHeight="1" x14ac:dyDescent="0.35">
      <c r="A6" s="11" t="s">
        <v>46</v>
      </c>
      <c r="B6" s="17">
        <f>COUNTIF(Experiments!$B$2:$B$61,A6)</f>
        <v>3</v>
      </c>
      <c r="C6" s="17">
        <f>COUNTIFS(Experiments!$B$2:$B$61,A6,Experiments!$V$2:$V$61,"&lt;&gt;")</f>
        <v>3</v>
      </c>
      <c r="D6" s="15">
        <f>IF(C6=0,"",_xlfn.MAXIFS(Experiments!$V$2:$V$61,Experiments!$B$2:$B$61,A6))</f>
        <v>0.83683356080200177</v>
      </c>
      <c r="E6" s="15">
        <f>IF(C6=0,"",_xlfn.MINIFS(Experiments!$V$2:$V$61,Experiments!$B$2:$B$61,A6))</f>
        <v>0.66295857374748768</v>
      </c>
      <c r="F6" s="15">
        <f>IF(C6=0,"",_xlfn.MAXIFS(Experiments!$U$2:$U$61,Experiments!$B$2:$B$61,A6))</f>
        <v>0.89729136636475115</v>
      </c>
      <c r="G6" s="17" t="str">
        <f t="shared" si="0"/>
        <v>Có</v>
      </c>
      <c r="H6" s="18" t="s">
        <v>301</v>
      </c>
    </row>
    <row r="7" spans="1:8" ht="15" customHeight="1" x14ac:dyDescent="0.35">
      <c r="A7" s="11" t="s">
        <v>221</v>
      </c>
      <c r="B7" s="17">
        <f>COUNTIF(Experiments!$B$2:$B$61,A7)</f>
        <v>5</v>
      </c>
      <c r="C7" s="17">
        <f>COUNTIFS(Experiments!$B$2:$B$61,A7,Experiments!$V$2:$V$61,"&lt;&gt;")</f>
        <v>5</v>
      </c>
      <c r="D7" s="15">
        <f>IF(C7=0,"",_xlfn.MAXIFS(Experiments!$V$2:$V$61,Experiments!$B$2:$B$61,A7))</f>
        <v>0.85906994990042052</v>
      </c>
      <c r="E7" s="15">
        <f>IF(C7=0,"",_xlfn.MINIFS(Experiments!$V$2:$V$61,Experiments!$B$2:$B$61,A7))</f>
        <v>9.3649990186254542E-2</v>
      </c>
      <c r="F7" s="15">
        <f>IF(C7=0,"",_xlfn.MAXIFS(Experiments!$U$2:$U$61,Experiments!$B$2:$B$61,A7))</f>
        <v>0.90901658742281788</v>
      </c>
      <c r="G7" s="17" t="str">
        <f t="shared" si="0"/>
        <v>Có</v>
      </c>
      <c r="H7" s="18" t="s">
        <v>302</v>
      </c>
    </row>
    <row r="8" spans="1:8" ht="15" customHeight="1" x14ac:dyDescent="0.35">
      <c r="A8" s="11" t="s">
        <v>237</v>
      </c>
      <c r="B8" s="17">
        <f>COUNTIF(Experiments!$B$2:$B$61,A8)</f>
        <v>3</v>
      </c>
      <c r="C8" s="17">
        <f>COUNTIFS(Experiments!$B$2:$B$61,A8,Experiments!$V$2:$V$61,"&lt;&gt;")</f>
        <v>3</v>
      </c>
      <c r="D8" s="15">
        <f>IF(C8=0,"",_xlfn.MAXIFS(Experiments!$V$2:$V$61,Experiments!$B$2:$B$61,A8))</f>
        <v>0.88214793803795788</v>
      </c>
      <c r="E8" s="15">
        <f>IF(C8=0,"",_xlfn.MINIFS(Experiments!$V$2:$V$61,Experiments!$B$2:$B$61,A8))</f>
        <v>0.85151251851686915</v>
      </c>
      <c r="F8" s="15">
        <f>IF(C8=0,"",_xlfn.MAXIFS(Experiments!$U$2:$U$61,Experiments!$B$2:$B$61,A8))</f>
        <v>0.92149480432865039</v>
      </c>
      <c r="G8" s="17" t="str">
        <f t="shared" si="0"/>
        <v>Có</v>
      </c>
      <c r="H8" s="18" t="s">
        <v>303</v>
      </c>
    </row>
    <row r="9" spans="1:8" ht="15" customHeight="1" x14ac:dyDescent="0.35">
      <c r="A9" s="11" t="s">
        <v>53</v>
      </c>
      <c r="B9" s="17">
        <f>COUNTIF(Experiments!$B$2:$B$61,A9)</f>
        <v>4</v>
      </c>
      <c r="C9" s="17">
        <f>COUNTIFS(Experiments!$B$2:$B$61,A9,Experiments!$V$2:$V$61,"&lt;&gt;")</f>
        <v>4</v>
      </c>
      <c r="D9" s="15">
        <f>IF(C9=0,"",_xlfn.MAXIFS(Experiments!$V$2:$V$61,Experiments!$B$2:$B$61,A9))</f>
        <v>0.85853182971469111</v>
      </c>
      <c r="E9" s="15">
        <f>IF(C9=0,"",_xlfn.MINIFS(Experiments!$V$2:$V$61,Experiments!$B$2:$B$61,A9))</f>
        <v>9.3649990186254542E-2</v>
      </c>
      <c r="F9" s="15">
        <f>IF(C9=0,"",_xlfn.MAXIFS(Experiments!$U$2:$U$61,Experiments!$B$2:$B$61,A9))</f>
        <v>0.90938232826316134</v>
      </c>
      <c r="G9" s="17" t="str">
        <f t="shared" si="0"/>
        <v>Có</v>
      </c>
      <c r="H9" s="18" t="s">
        <v>304</v>
      </c>
    </row>
    <row r="10" spans="1:8" ht="15" customHeight="1" x14ac:dyDescent="0.35">
      <c r="A10" s="11" t="s">
        <v>269</v>
      </c>
      <c r="B10" s="17">
        <f>COUNTIF(Experiments!$B$2:$B$61,A10)</f>
        <v>4</v>
      </c>
      <c r="C10" s="17">
        <f>COUNTIFS(Experiments!$B$2:$B$61,A10,Experiments!$V$2:$V$61,"&lt;&gt;")</f>
        <v>4</v>
      </c>
      <c r="D10" s="15">
        <f>IF(C10=0,"",_xlfn.MAXIFS(Experiments!$V$2:$V$61,Experiments!$B$2:$B$61,A10))</f>
        <v>0.92769030336710478</v>
      </c>
      <c r="E10" s="15">
        <f>IF(C10=0,"",_xlfn.MINIFS(Experiments!$V$2:$V$61,Experiments!$B$2:$B$61,A10))</f>
        <v>0.90181952688987799</v>
      </c>
      <c r="F10" s="15">
        <f>IF(C10=0,"",_xlfn.MAXIFS(Experiments!$U$2:$U$61,Experiments!$B$2:$B$61,A10))</f>
        <v>0.95359394161055056</v>
      </c>
      <c r="G10" s="17" t="s">
        <v>296</v>
      </c>
      <c r="H10" s="18" t="s">
        <v>305</v>
      </c>
    </row>
    <row r="11" spans="1:8" ht="15" customHeight="1" x14ac:dyDescent="0.35">
      <c r="A11" s="11" t="s">
        <v>306</v>
      </c>
      <c r="B11" s="17">
        <f>COUNTIF(Experiments!$B$2:$B$61,A11)</f>
        <v>0</v>
      </c>
      <c r="C11" s="17">
        <f>COUNTIFS(Experiments!$B$2:$B$61,A11,Experiments!$V$2:$V$61,"&lt;&gt;")</f>
        <v>0</v>
      </c>
      <c r="D11" s="15" t="str">
        <f>IF(C11=0,"",_xlfn.MAXIFS(Experiments!$V$2:$V$61,Experiments!$B$2:$B$61,A11))</f>
        <v/>
      </c>
      <c r="E11" s="15" t="str">
        <f>IF(C11=0,"",_xlfn.MINIFS(Experiments!$V$2:$V$61,Experiments!$B$2:$B$61,A11))</f>
        <v/>
      </c>
      <c r="F11" s="15" t="str">
        <f>IF(C11=0,"",_xlfn.MAXIFS(Experiments!$U$2:$U$61,Experiments!$B$2:$B$61,A11))</f>
        <v/>
      </c>
      <c r="G11" s="17" t="s">
        <v>296</v>
      </c>
      <c r="H11" s="18"/>
    </row>
    <row r="13" spans="1:8" ht="15" customHeight="1" x14ac:dyDescent="0.35">
      <c r="A13" s="3" t="s">
        <v>307</v>
      </c>
      <c r="D13" s="3">
        <f>COUNTIF(G2:G11,"Có")</f>
        <v>7</v>
      </c>
    </row>
    <row r="14" spans="1:8" ht="15" customHeight="1" x14ac:dyDescent="0.35">
      <c r="A14" s="2" t="s">
        <v>308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Sơn Nguyễn Hoàng</cp:lastModifiedBy>
  <cp:revision>0</cp:revision>
  <dcterms:created xsi:type="dcterms:W3CDTF">2026-10-02T03:40:32Z</dcterms:created>
  <dcterms:modified xsi:type="dcterms:W3CDTF">2026-10-04T04:51:16Z</dcterms:modified>
  <dc:language>en-US</dc:language>
</cp:coreProperties>
</file>